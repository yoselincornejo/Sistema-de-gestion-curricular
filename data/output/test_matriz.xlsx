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ompe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color rgb="001F4E79"/>
      <sz val="8"/>
    </font>
    <font>
      <name val="Calibri"/>
      <color rgb="00375623"/>
      <sz val="8"/>
    </font>
    <font>
      <name val="Calibri"/>
      <color rgb="00843C0C"/>
      <sz val="8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843C0C"/>
      <sz val="10"/>
    </font>
    <font>
      <name val="Calibri"/>
      <b val="1"/>
      <color rgb="001F4E79"/>
      <sz val="10"/>
    </font>
    <font>
      <name val="Calibri"/>
      <b val="1"/>
      <color rgb="00375623"/>
      <sz val="10"/>
    </font>
    <font>
      <name val="Calibri"/>
      <b val="1"/>
      <color rgb="001F4E79"/>
      <sz val="14"/>
    </font>
    <font>
      <name val="Calibri"/>
      <b val="1"/>
      <color rgb="00000000"/>
      <sz val="12"/>
    </font>
  </fonts>
  <fills count="9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bottom" textRotation="90"/>
    </xf>
    <xf numFmtId="0" fontId="5" fillId="4" borderId="1" applyAlignment="1" pivotButton="0" quotePrefix="0" xfId="0">
      <alignment horizontal="center" vertical="bottom" textRotation="90"/>
    </xf>
    <xf numFmtId="0" fontId="6" fillId="5" borderId="1" applyAlignment="1" pivotButton="0" quotePrefix="0" xfId="0">
      <alignment horizontal="center" vertical="bottom" textRotation="90"/>
    </xf>
    <xf numFmtId="0" fontId="0" fillId="2" borderId="1" pivotButton="0" quotePrefix="0" xfId="0"/>
    <xf numFmtId="0" fontId="2" fillId="2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textRotation="90"/>
    </xf>
    <xf numFmtId="0" fontId="1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12" customWidth="1" min="3" max="3"/>
    <col width="3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</cols>
  <sheetData>
    <row r="1" ht="22" customHeight="1">
      <c r="A1" s="1" t="inlineStr">
        <is>
          <t>MATRIZ DE TRIBUTACIÓN DE COMPETENCIAS — INGENIERÍA CIVIL MATEMÁTICA, PLAN 2025</t>
        </is>
      </c>
    </row>
    <row r="2">
      <c r="A2" s="2" t="inlineStr">
        <is>
          <t>Nivel</t>
        </is>
      </c>
      <c r="B2" s="2" t="inlineStr">
        <is>
          <t>Sem</t>
        </is>
      </c>
      <c r="C2" s="2" t="inlineStr">
        <is>
          <t>Código</t>
        </is>
      </c>
      <c r="D2" s="2" t="inlineStr">
        <is>
          <t>Nombre de Asignatura</t>
        </is>
      </c>
      <c r="E2" s="2" t="inlineStr">
        <is>
          <t>Créd.</t>
        </is>
      </c>
      <c r="F2" s="2" t="inlineStr">
        <is>
          <t>Total</t>
        </is>
      </c>
      <c r="G2" s="3" t="inlineStr">
        <is>
          <t>Lic.</t>
        </is>
      </c>
      <c r="H2" s="4" t="inlineStr">
        <is>
          <t>Tít.</t>
        </is>
      </c>
      <c r="I2" s="5" t="inlineStr">
        <is>
          <t>Sello</t>
        </is>
      </c>
      <c r="J2" s="6" t="inlineStr">
        <is>
          <t>Competencias de Licenciatura</t>
        </is>
      </c>
      <c r="Q2" s="7" t="inlineStr">
        <is>
          <t>Competencias Específicas del Título</t>
        </is>
      </c>
      <c r="AS2" s="8" t="inlineStr">
        <is>
          <t>Competencias Genéricas Sello UV</t>
        </is>
      </c>
    </row>
    <row r="3">
      <c r="J3" s="6" t="inlineStr">
        <is>
          <t>CL1</t>
        </is>
      </c>
      <c r="N3" s="6" t="inlineStr">
        <is>
          <t>CL2</t>
        </is>
      </c>
      <c r="Q3" s="7" t="inlineStr">
        <is>
          <t>CE1</t>
        </is>
      </c>
      <c r="AE3" s="7" t="inlineStr">
        <is>
          <t>CE2</t>
        </is>
      </c>
      <c r="AS3" s="8" t="inlineStr">
        <is>
          <t>CG1</t>
        </is>
      </c>
      <c r="AY3" s="8" t="inlineStr">
        <is>
          <t>CG2</t>
        </is>
      </c>
      <c r="BG3" s="8" t="inlineStr">
        <is>
          <t>CG3</t>
        </is>
      </c>
      <c r="BO3" s="8" t="inlineStr">
        <is>
          <t>CG4</t>
        </is>
      </c>
    </row>
    <row r="4" ht="8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10" t="inlineStr">
        <is>
          <t>CL1, ND1, RA1</t>
        </is>
      </c>
      <c r="K4" s="10" t="inlineStr">
        <is>
          <t>CL1, ND1, RA2</t>
        </is>
      </c>
      <c r="L4" s="10" t="inlineStr">
        <is>
          <t>CL1, ND2, RA1</t>
        </is>
      </c>
      <c r="M4" s="10" t="inlineStr">
        <is>
          <t>CL1, ND2, RA2</t>
        </is>
      </c>
      <c r="N4" s="10" t="inlineStr">
        <is>
          <t>CL2, ND1, RA1</t>
        </is>
      </c>
      <c r="O4" s="10" t="inlineStr">
        <is>
          <t>CL2, ND2, RA1</t>
        </is>
      </c>
      <c r="P4" s="10" t="inlineStr">
        <is>
          <t>CL2, ND2, RA2</t>
        </is>
      </c>
      <c r="Q4" s="11" t="inlineStr">
        <is>
          <t>CE1, ND1, RA1</t>
        </is>
      </c>
      <c r="R4" s="11" t="inlineStr">
        <is>
          <t>CE1, ND1, RA2</t>
        </is>
      </c>
      <c r="S4" s="11" t="inlineStr">
        <is>
          <t>CE1, ND1, RA3</t>
        </is>
      </c>
      <c r="T4" s="11" t="inlineStr">
        <is>
          <t>CE1, ND1, RA4</t>
        </is>
      </c>
      <c r="U4" s="11" t="inlineStr">
        <is>
          <t>CE1, ND2, RA1</t>
        </is>
      </c>
      <c r="V4" s="11" t="inlineStr">
        <is>
          <t>CE1, ND2, RA2</t>
        </is>
      </c>
      <c r="W4" s="11" t="inlineStr">
        <is>
          <t>CE1, ND2, RA3</t>
        </is>
      </c>
      <c r="X4" s="11" t="inlineStr">
        <is>
          <t>CE1, ND2, RA4</t>
        </is>
      </c>
      <c r="Y4" s="11" t="inlineStr">
        <is>
          <t>CE1, ND2, RA5</t>
        </is>
      </c>
      <c r="Z4" s="11" t="inlineStr">
        <is>
          <t>CE1, ND2, RA6</t>
        </is>
      </c>
      <c r="AA4" s="11" t="inlineStr">
        <is>
          <t>CE1, ND2, RA7</t>
        </is>
      </c>
      <c r="AB4" s="11" t="inlineStr">
        <is>
          <t>CE1, ND3, RA1</t>
        </is>
      </c>
      <c r="AC4" s="11" t="inlineStr">
        <is>
          <t>CE1, ND3, RA2</t>
        </is>
      </c>
      <c r="AD4" s="11" t="inlineStr">
        <is>
          <t>CE1, ND3, RA3</t>
        </is>
      </c>
      <c r="AE4" s="11" t="inlineStr">
        <is>
          <t>CE2, ND1, RA1</t>
        </is>
      </c>
      <c r="AF4" s="11" t="inlineStr">
        <is>
          <t>CE2, ND1, RA2</t>
        </is>
      </c>
      <c r="AG4" s="11" t="inlineStr">
        <is>
          <t>CE2, ND1, RA3</t>
        </is>
      </c>
      <c r="AH4" s="11" t="inlineStr">
        <is>
          <t>CE2, ND1, RA4</t>
        </is>
      </c>
      <c r="AI4" s="11" t="inlineStr">
        <is>
          <t>CE2, ND2, RA1</t>
        </is>
      </c>
      <c r="AJ4" s="11" t="inlineStr">
        <is>
          <t>CE2, ND2, RA2</t>
        </is>
      </c>
      <c r="AK4" s="11" t="inlineStr">
        <is>
          <t>CE2, ND2, RA3</t>
        </is>
      </c>
      <c r="AL4" s="11" t="inlineStr">
        <is>
          <t>CE2, ND2, RA4</t>
        </is>
      </c>
      <c r="AM4" s="11" t="inlineStr">
        <is>
          <t>CE2, ND3, RA1</t>
        </is>
      </c>
      <c r="AN4" s="11" t="inlineStr">
        <is>
          <t>CE2, ND3, RA2</t>
        </is>
      </c>
      <c r="AO4" s="11" t="inlineStr">
        <is>
          <t>CE2, ND3, RA3</t>
        </is>
      </c>
      <c r="AP4" s="11" t="inlineStr">
        <is>
          <t>CE2, ND3, RA4</t>
        </is>
      </c>
      <c r="AQ4" s="11" t="inlineStr">
        <is>
          <t>CE2, ND3, RA5</t>
        </is>
      </c>
      <c r="AR4" s="11" t="inlineStr">
        <is>
          <t>CE2, ND3, RA6</t>
        </is>
      </c>
      <c r="AS4" s="12" t="inlineStr">
        <is>
          <t>CG1, ND1, D1</t>
        </is>
      </c>
      <c r="AT4" s="12" t="inlineStr">
        <is>
          <t>CG1, ND1, D2</t>
        </is>
      </c>
      <c r="AU4" s="12" t="inlineStr">
        <is>
          <t>CG1, ND2, D1</t>
        </is>
      </c>
      <c r="AV4" s="12" t="inlineStr">
        <is>
          <t>CG1, ND2, D2</t>
        </is>
      </c>
      <c r="AW4" s="12" t="inlineStr">
        <is>
          <t>CG1, ND3, D1</t>
        </is>
      </c>
      <c r="AX4" s="12" t="inlineStr">
        <is>
          <t>CG1, ND3, D2</t>
        </is>
      </c>
      <c r="AY4" s="12" t="inlineStr">
        <is>
          <t>CG2, ND1, D1</t>
        </is>
      </c>
      <c r="AZ4" s="12" t="inlineStr">
        <is>
          <t>CG2, ND1, D2</t>
        </is>
      </c>
      <c r="BA4" s="12" t="inlineStr">
        <is>
          <t>CG2, ND1, D3</t>
        </is>
      </c>
      <c r="BB4" s="12" t="inlineStr">
        <is>
          <t>CG2, ND2, D1</t>
        </is>
      </c>
      <c r="BC4" s="12" t="inlineStr">
        <is>
          <t>CG2, ND2, D2</t>
        </is>
      </c>
      <c r="BD4" s="12" t="inlineStr">
        <is>
          <t>CG2, ND2, D3</t>
        </is>
      </c>
      <c r="BE4" s="12" t="inlineStr">
        <is>
          <t>CG2, ND3, D1</t>
        </is>
      </c>
      <c r="BF4" s="12" t="inlineStr">
        <is>
          <t>CG2, ND3, D2</t>
        </is>
      </c>
      <c r="BG4" s="12" t="inlineStr">
        <is>
          <t>CG3, ND1, D1</t>
        </is>
      </c>
      <c r="BH4" s="12" t="inlineStr">
        <is>
          <t>CG3, ND1, D2</t>
        </is>
      </c>
      <c r="BI4" s="12" t="inlineStr">
        <is>
          <t>CG3, ND1, D3</t>
        </is>
      </c>
      <c r="BJ4" s="12" t="inlineStr">
        <is>
          <t>CG3, ND2, D1</t>
        </is>
      </c>
      <c r="BK4" s="12" t="inlineStr">
        <is>
          <t>CG3, ND2, D2</t>
        </is>
      </c>
      <c r="BL4" s="12" t="inlineStr">
        <is>
          <t>CG3, ND2, D3</t>
        </is>
      </c>
      <c r="BM4" s="12" t="inlineStr">
        <is>
          <t>CG3, ND3, D1</t>
        </is>
      </c>
      <c r="BN4" s="12" t="inlineStr">
        <is>
          <t>CG3, ND3, D2</t>
        </is>
      </c>
      <c r="BO4" s="12" t="inlineStr">
        <is>
          <t>CG4, ND1, D1</t>
        </is>
      </c>
      <c r="BP4" s="12" t="inlineStr">
        <is>
          <t>CG4, ND1, D2</t>
        </is>
      </c>
      <c r="BQ4" s="12" t="inlineStr">
        <is>
          <t>CG4, ND1, D3</t>
        </is>
      </c>
      <c r="BR4" s="12" t="inlineStr">
        <is>
          <t>CG4, ND2, D1</t>
        </is>
      </c>
      <c r="BS4" s="12" t="inlineStr">
        <is>
          <t>CG4, ND2, D2</t>
        </is>
      </c>
      <c r="BT4" s="12" t="inlineStr">
        <is>
          <t>CG4, ND3, D1</t>
        </is>
      </c>
      <c r="BU4" s="12" t="inlineStr">
        <is>
          <t>CG4, ND3, D2</t>
        </is>
      </c>
      <c r="BV4" s="12" t="inlineStr">
        <is>
          <t>CG4, ND3, D3</t>
        </is>
      </c>
    </row>
    <row r="5" ht="16" customHeight="1">
      <c r="A5" s="13" t="inlineStr"/>
      <c r="B5" s="13" t="inlineStr"/>
      <c r="C5" s="13" t="inlineStr"/>
      <c r="D5" s="14" t="inlineStr">
        <is>
          <t>Subtotales por RA →</t>
        </is>
      </c>
      <c r="E5" s="13" t="inlineStr"/>
      <c r="F5" s="13" t="inlineStr"/>
      <c r="G5" s="13" t="inlineStr"/>
      <c r="H5" s="13" t="inlineStr"/>
      <c r="I5" s="13" t="inlineStr"/>
      <c r="J5" s="2">
        <f>COUNTIF(J6:J56,"X")</f>
        <v/>
      </c>
      <c r="K5" s="2">
        <f>COUNTIF(K6:K56,"X")</f>
        <v/>
      </c>
      <c r="L5" s="2">
        <f>COUNTIF(L6:L56,"X")</f>
        <v/>
      </c>
      <c r="M5" s="2">
        <f>COUNTIF(M6:M56,"X")</f>
        <v/>
      </c>
      <c r="N5" s="2">
        <f>COUNTIF(N6:N56,"X")</f>
        <v/>
      </c>
      <c r="O5" s="2">
        <f>COUNTIF(O6:O56,"X")</f>
        <v/>
      </c>
      <c r="P5" s="2">
        <f>COUNTIF(P6:P56,"X")</f>
        <v/>
      </c>
      <c r="Q5" s="2">
        <f>COUNTIF(Q6:Q56,"X")</f>
        <v/>
      </c>
      <c r="R5" s="2">
        <f>COUNTIF(R6:R56,"X")</f>
        <v/>
      </c>
      <c r="S5" s="2">
        <f>COUNTIF(S6:S56,"X")</f>
        <v/>
      </c>
      <c r="T5" s="2">
        <f>COUNTIF(T6:T56,"X")</f>
        <v/>
      </c>
      <c r="U5" s="2">
        <f>COUNTIF(U6:U56,"X")</f>
        <v/>
      </c>
      <c r="V5" s="2">
        <f>COUNTIF(V6:V56,"X")</f>
        <v/>
      </c>
      <c r="W5" s="2">
        <f>COUNTIF(W6:W56,"X")</f>
        <v/>
      </c>
      <c r="X5" s="2">
        <f>COUNTIF(X6:X56,"X")</f>
        <v/>
      </c>
      <c r="Y5" s="2">
        <f>COUNTIF(Y6:Y56,"X")</f>
        <v/>
      </c>
      <c r="Z5" s="2">
        <f>COUNTIF(Z6:Z56,"X")</f>
        <v/>
      </c>
      <c r="AA5" s="2">
        <f>COUNTIF(AA6:AA56,"X")</f>
        <v/>
      </c>
      <c r="AB5" s="2">
        <f>COUNTIF(AB6:AB56,"X")</f>
        <v/>
      </c>
      <c r="AC5" s="2">
        <f>COUNTIF(AC6:AC56,"X")</f>
        <v/>
      </c>
      <c r="AD5" s="2">
        <f>COUNTIF(AD6:AD56,"X")</f>
        <v/>
      </c>
      <c r="AE5" s="2">
        <f>COUNTIF(AE6:AE56,"X")</f>
        <v/>
      </c>
      <c r="AF5" s="2">
        <f>COUNTIF(AF6:AF56,"X")</f>
        <v/>
      </c>
      <c r="AG5" s="2">
        <f>COUNTIF(AG6:AG56,"X")</f>
        <v/>
      </c>
      <c r="AH5" s="2">
        <f>COUNTIF(AH6:AH56,"X")</f>
        <v/>
      </c>
      <c r="AI5" s="2">
        <f>COUNTIF(AI6:AI56,"X")</f>
        <v/>
      </c>
      <c r="AJ5" s="2">
        <f>COUNTIF(AJ6:AJ56,"X")</f>
        <v/>
      </c>
      <c r="AK5" s="2">
        <f>COUNTIF(AK6:AK56,"X")</f>
        <v/>
      </c>
      <c r="AL5" s="2">
        <f>COUNTIF(AL6:AL56,"X")</f>
        <v/>
      </c>
      <c r="AM5" s="2">
        <f>COUNTIF(AM6:AM56,"X")</f>
        <v/>
      </c>
      <c r="AN5" s="2">
        <f>COUNTIF(AN6:AN56,"X")</f>
        <v/>
      </c>
      <c r="AO5" s="2">
        <f>COUNTIF(AO6:AO56,"X")</f>
        <v/>
      </c>
      <c r="AP5" s="2">
        <f>COUNTIF(AP6:AP56,"X")</f>
        <v/>
      </c>
      <c r="AQ5" s="2">
        <f>COUNTIF(AQ6:AQ56,"X")</f>
        <v/>
      </c>
      <c r="AR5" s="2">
        <f>COUNTIF(AR6:AR56,"X")</f>
        <v/>
      </c>
      <c r="AS5" s="2">
        <f>COUNTIF(AS6:AS56,"X")</f>
        <v/>
      </c>
      <c r="AT5" s="2">
        <f>COUNTIF(AT6:AT56,"X")</f>
        <v/>
      </c>
      <c r="AU5" s="2">
        <f>COUNTIF(AU6:AU56,"X")</f>
        <v/>
      </c>
      <c r="AV5" s="2">
        <f>COUNTIF(AV6:AV56,"X")</f>
        <v/>
      </c>
      <c r="AW5" s="2">
        <f>COUNTIF(AW6:AW56,"X")</f>
        <v/>
      </c>
      <c r="AX5" s="2">
        <f>COUNTIF(AX6:AX56,"X")</f>
        <v/>
      </c>
      <c r="AY5" s="2">
        <f>COUNTIF(AY6:AY56,"X")</f>
        <v/>
      </c>
      <c r="AZ5" s="2">
        <f>COUNTIF(AZ6:AZ56,"X")</f>
        <v/>
      </c>
      <c r="BA5" s="2">
        <f>COUNTIF(BA6:BA56,"X")</f>
        <v/>
      </c>
      <c r="BB5" s="2">
        <f>COUNTIF(BB6:BB56,"X")</f>
        <v/>
      </c>
      <c r="BC5" s="2">
        <f>COUNTIF(BC6:BC56,"X")</f>
        <v/>
      </c>
      <c r="BD5" s="2">
        <f>COUNTIF(BD6:BD56,"X")</f>
        <v/>
      </c>
      <c r="BE5" s="2">
        <f>COUNTIF(BE6:BE56,"X")</f>
        <v/>
      </c>
      <c r="BF5" s="2">
        <f>COUNTIF(BF6:BF56,"X")</f>
        <v/>
      </c>
      <c r="BG5" s="2">
        <f>COUNTIF(BG6:BG56,"X")</f>
        <v/>
      </c>
      <c r="BH5" s="2">
        <f>COUNTIF(BH6:BH56,"X")</f>
        <v/>
      </c>
      <c r="BI5" s="2">
        <f>COUNTIF(BI6:BI56,"X")</f>
        <v/>
      </c>
      <c r="BJ5" s="2">
        <f>COUNTIF(BJ6:BJ56,"X")</f>
        <v/>
      </c>
      <c r="BK5" s="2">
        <f>COUNTIF(BK6:BK56,"X")</f>
        <v/>
      </c>
      <c r="BL5" s="2">
        <f>COUNTIF(BL6:BL56,"X")</f>
        <v/>
      </c>
      <c r="BM5" s="2">
        <f>COUNTIF(BM6:BM56,"X")</f>
        <v/>
      </c>
      <c r="BN5" s="2">
        <f>COUNTIF(BN6:BN56,"X")</f>
        <v/>
      </c>
      <c r="BO5" s="2">
        <f>COUNTIF(BO6:BO56,"X")</f>
        <v/>
      </c>
      <c r="BP5" s="2">
        <f>COUNTIF(BP6:BP56,"X")</f>
        <v/>
      </c>
      <c r="BQ5" s="2">
        <f>COUNTIF(BQ6:BQ56,"X")</f>
        <v/>
      </c>
      <c r="BR5" s="2">
        <f>COUNTIF(BR6:BR56,"X")</f>
        <v/>
      </c>
      <c r="BS5" s="2">
        <f>COUNTIF(BS6:BS56,"X")</f>
        <v/>
      </c>
      <c r="BT5" s="2">
        <f>COUNTIF(BT6:BT56,"X")</f>
        <v/>
      </c>
      <c r="BU5" s="2">
        <f>COUNTIF(BU6:BU56,"X")</f>
        <v/>
      </c>
      <c r="BV5" s="2">
        <f>COUNTIF(BV6:BV56,"X")</f>
        <v/>
      </c>
    </row>
    <row r="6" ht="18" customHeight="1">
      <c r="C6" s="15" t="inlineStr">
        <is>
          <t>CFG 111</t>
        </is>
      </c>
      <c r="D6" s="16" t="inlineStr">
        <is>
          <t>Desarrollo Personal</t>
        </is>
      </c>
      <c r="E6" s="13" t="n"/>
      <c r="F6" s="15">
        <f>SUM(G6:I6)</f>
        <v/>
      </c>
      <c r="G6" s="17">
        <f>COUNTIF(J6:P6,"X")</f>
        <v/>
      </c>
      <c r="H6" s="17">
        <f>COUNTIF(Q6:AR6,"X")</f>
        <v/>
      </c>
      <c r="I6" s="17">
        <f>COUNTIF(AS6:BV6,"X")</f>
        <v/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18" t="inlineStr">
        <is>
          <t>X</t>
        </is>
      </c>
      <c r="AY6" s="9" t="n"/>
      <c r="AZ6" s="9" t="n"/>
      <c r="BA6" s="9" t="n"/>
      <c r="BB6" s="9" t="n"/>
      <c r="BC6" s="9" t="n"/>
      <c r="BD6" s="9" t="n"/>
      <c r="BE6" s="18" t="inlineStr">
        <is>
          <t>X</t>
        </is>
      </c>
      <c r="BF6" s="18" t="inlineStr">
        <is>
          <t>X</t>
        </is>
      </c>
      <c r="BG6" s="9" t="n"/>
      <c r="BH6" s="9" t="n"/>
      <c r="BI6" s="9" t="n"/>
      <c r="BJ6" s="9" t="n"/>
      <c r="BK6" s="9" t="n"/>
      <c r="BL6" s="9" t="n"/>
      <c r="BM6" s="18" t="inlineStr">
        <is>
          <t>X</t>
        </is>
      </c>
      <c r="BN6" s="9" t="n"/>
      <c r="BO6" s="9" t="n"/>
      <c r="BP6" s="9" t="n"/>
      <c r="BQ6" s="9" t="n"/>
      <c r="BR6" s="9" t="n"/>
      <c r="BS6" s="9" t="n"/>
      <c r="BT6" s="18" t="inlineStr">
        <is>
          <t>X</t>
        </is>
      </c>
      <c r="BU6" s="18" t="inlineStr">
        <is>
          <t>X</t>
        </is>
      </c>
      <c r="BV6" s="18" t="inlineStr">
        <is>
          <t>X</t>
        </is>
      </c>
    </row>
    <row r="7" ht="18" customHeight="1">
      <c r="C7" s="15" t="inlineStr">
        <is>
          <t>FIS 111</t>
        </is>
      </c>
      <c r="D7" s="16" t="inlineStr">
        <is>
          <t>Fundamentos de Física</t>
        </is>
      </c>
      <c r="E7" s="13" t="n"/>
      <c r="F7" s="15">
        <f>SUM(G7:I7)</f>
        <v/>
      </c>
      <c r="G7" s="17">
        <f>COUNTIF(J7:P7,"X")</f>
        <v/>
      </c>
      <c r="H7" s="17">
        <f>COUNTIF(Q7:AR7,"X")</f>
        <v/>
      </c>
      <c r="I7" s="17">
        <f>COUNTIF(AS7:BV7,"X")</f>
        <v/>
      </c>
      <c r="J7" s="9" t="n"/>
      <c r="K7" s="9" t="n"/>
      <c r="L7" s="19" t="inlineStr">
        <is>
          <t>X</t>
        </is>
      </c>
      <c r="M7" s="19" t="inlineStr">
        <is>
          <t>X</t>
        </is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18" t="inlineStr">
        <is>
          <t>X</t>
        </is>
      </c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18" t="inlineStr">
        <is>
          <t>X</t>
        </is>
      </c>
      <c r="BU7" s="9" t="n"/>
      <c r="BV7" s="9" t="n"/>
    </row>
    <row r="8" ht="18" customHeight="1">
      <c r="C8" s="15" t="inlineStr">
        <is>
          <t>FIS 211</t>
        </is>
      </c>
      <c r="D8" s="16" t="inlineStr">
        <is>
          <t>Física Mecánica</t>
        </is>
      </c>
      <c r="E8" s="13" t="n"/>
      <c r="F8" s="15">
        <f>SUM(G8:I8)</f>
        <v/>
      </c>
      <c r="G8" s="17">
        <f>COUNTIF(J8:P8,"X")</f>
        <v/>
      </c>
      <c r="H8" s="17">
        <f>COUNTIF(Q8:AR8,"X")</f>
        <v/>
      </c>
      <c r="I8" s="17">
        <f>COUNTIF(AS8:BV8,"X")</f>
        <v/>
      </c>
      <c r="J8" s="19" t="inlineStr">
        <is>
          <t>X</t>
        </is>
      </c>
      <c r="K8" s="19" t="inlineStr">
        <is>
          <t>X</t>
        </is>
      </c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18" t="inlineStr">
        <is>
          <t>X</t>
        </is>
      </c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18" t="inlineStr">
        <is>
          <t>X</t>
        </is>
      </c>
      <c r="BU8" s="9" t="n"/>
      <c r="BV8" s="9" t="n"/>
    </row>
    <row r="9" ht="18" customHeight="1">
      <c r="C9" s="15" t="inlineStr">
        <is>
          <t>FIS 221</t>
        </is>
      </c>
      <c r="D9" s="16" t="inlineStr">
        <is>
          <t>Física Calor y Ondas</t>
        </is>
      </c>
      <c r="E9" s="13" t="n"/>
      <c r="F9" s="15">
        <f>SUM(G9:I9)</f>
        <v/>
      </c>
      <c r="G9" s="17">
        <f>COUNTIF(J9:P9,"X")</f>
        <v/>
      </c>
      <c r="H9" s="17">
        <f>COUNTIF(Q9:AR9,"X")</f>
        <v/>
      </c>
      <c r="I9" s="17">
        <f>COUNTIF(AS9:BV9,"X")</f>
        <v/>
      </c>
      <c r="J9" s="19" t="inlineStr">
        <is>
          <t>X</t>
        </is>
      </c>
      <c r="K9" s="19" t="inlineStr">
        <is>
          <t>X</t>
        </is>
      </c>
      <c r="L9" s="19" t="inlineStr">
        <is>
          <t>X</t>
        </is>
      </c>
      <c r="M9" s="19" t="inlineStr">
        <is>
          <t>X</t>
        </is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18" t="inlineStr">
        <is>
          <t>X</t>
        </is>
      </c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18" t="inlineStr">
        <is>
          <t>X</t>
        </is>
      </c>
      <c r="BU9" s="9" t="n"/>
      <c r="BV9" s="9" t="n"/>
    </row>
    <row r="10" ht="18" customHeight="1">
      <c r="C10" s="15" t="inlineStr">
        <is>
          <t>FIS 311</t>
        </is>
      </c>
      <c r="D10" s="16" t="inlineStr">
        <is>
          <t>Física Electromagnetismo</t>
        </is>
      </c>
      <c r="E10" s="13" t="n"/>
      <c r="F10" s="15">
        <f>SUM(G10:I10)</f>
        <v/>
      </c>
      <c r="G10" s="17">
        <f>COUNTIF(J10:P10,"X")</f>
        <v/>
      </c>
      <c r="H10" s="17">
        <f>COUNTIF(Q10:AR10,"X")</f>
        <v/>
      </c>
      <c r="I10" s="17">
        <f>COUNTIF(AS10:BV10,"X")</f>
        <v/>
      </c>
      <c r="J10" s="9" t="n"/>
      <c r="K10" s="9" t="n"/>
      <c r="L10" s="19" t="inlineStr">
        <is>
          <t>X</t>
        </is>
      </c>
      <c r="M10" s="19" t="inlineStr">
        <is>
          <t>X</t>
        </is>
      </c>
      <c r="N10" s="9" t="n"/>
      <c r="O10" s="19" t="inlineStr">
        <is>
          <t>X</t>
        </is>
      </c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18" t="inlineStr">
        <is>
          <t>X</t>
        </is>
      </c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</row>
    <row r="11" ht="18" customHeight="1">
      <c r="C11" s="15" t="inlineStr">
        <is>
          <t>IMAT 212</t>
        </is>
      </c>
      <c r="D11" s="16" t="inlineStr">
        <is>
          <t>Economía</t>
        </is>
      </c>
      <c r="E11" s="13" t="n"/>
      <c r="F11" s="15">
        <f>SUM(G11:I11)</f>
        <v/>
      </c>
      <c r="G11" s="17">
        <f>COUNTIF(J11:P11,"X")</f>
        <v/>
      </c>
      <c r="H11" s="17">
        <f>COUNTIF(Q11:AR11,"X")</f>
        <v/>
      </c>
      <c r="I11" s="17">
        <f>COUNTIF(AS11:BV11,"X")</f>
        <v/>
      </c>
      <c r="J11" s="9" t="n"/>
      <c r="K11" s="19" t="inlineStr">
        <is>
          <t>X</t>
        </is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18" t="inlineStr">
        <is>
          <t>X</t>
        </is>
      </c>
      <c r="AZ11" s="9" t="n"/>
      <c r="BA11" s="9" t="n"/>
      <c r="BB11" s="9" t="n"/>
      <c r="BC11" s="9" t="n"/>
      <c r="BD11" s="9" t="n"/>
      <c r="BE11" s="9" t="n"/>
      <c r="BF11" s="9" t="n"/>
      <c r="BG11" s="18" t="inlineStr">
        <is>
          <t>X</t>
        </is>
      </c>
      <c r="BH11" s="9" t="n"/>
      <c r="BI11" s="18" t="inlineStr">
        <is>
          <t>X</t>
        </is>
      </c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</row>
    <row r="12" ht="18" customHeight="1">
      <c r="C12" s="15" t="inlineStr">
        <is>
          <t>IMAT 221</t>
        </is>
      </c>
      <c r="D12" s="16" t="inlineStr">
        <is>
          <t>Taller de Deducción Matemática</t>
        </is>
      </c>
      <c r="E12" s="13" t="n"/>
      <c r="F12" s="15">
        <f>SUM(G12:I12)</f>
        <v/>
      </c>
      <c r="G12" s="17">
        <f>COUNTIF(J12:P12,"X")</f>
        <v/>
      </c>
      <c r="H12" s="17">
        <f>COUNTIF(Q12:AR12,"X")</f>
        <v/>
      </c>
      <c r="I12" s="17">
        <f>COUNTIF(AS12:BV12,"X")</f>
        <v/>
      </c>
      <c r="J12" s="9" t="n"/>
      <c r="K12" s="9" t="n"/>
      <c r="L12" s="9" t="n"/>
      <c r="M12" s="9" t="n"/>
      <c r="N12" s="19" t="inlineStr">
        <is>
          <t>X</t>
        </is>
      </c>
      <c r="O12" s="9" t="n"/>
      <c r="P12" s="9" t="n"/>
      <c r="Q12" s="9" t="n"/>
      <c r="R12" s="20" t="inlineStr">
        <is>
          <t>X</t>
        </is>
      </c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18" t="inlineStr">
        <is>
          <t>X</t>
        </is>
      </c>
      <c r="AU12" s="9" t="n"/>
      <c r="AV12" s="9" t="n"/>
      <c r="AW12" s="9" t="n"/>
      <c r="AX12" s="9" t="n"/>
      <c r="AY12" s="9" t="n"/>
      <c r="AZ12" s="18" t="inlineStr">
        <is>
          <t>X</t>
        </is>
      </c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18" t="inlineStr">
        <is>
          <t>X</t>
        </is>
      </c>
      <c r="BQ12" s="9" t="n"/>
      <c r="BR12" s="9" t="n"/>
      <c r="BS12" s="9" t="n"/>
      <c r="BT12" s="9" t="n"/>
      <c r="BU12" s="9" t="n"/>
      <c r="BV12" s="9" t="n"/>
    </row>
    <row r="13" ht="18" customHeight="1">
      <c r="C13" s="15" t="inlineStr">
        <is>
          <t>IMAT 223</t>
        </is>
      </c>
      <c r="D13" s="16" t="inlineStr">
        <is>
          <t>Idioma I</t>
        </is>
      </c>
      <c r="E13" s="13" t="n"/>
      <c r="F13" s="15">
        <f>SUM(G13:I13)</f>
        <v/>
      </c>
      <c r="G13" s="17">
        <f>COUNTIF(J13:P13,"X")</f>
        <v/>
      </c>
      <c r="H13" s="17">
        <f>COUNTIF(Q13:AR13,"X")</f>
        <v/>
      </c>
      <c r="I13" s="17">
        <f>COUNTIF(AS13:BV13,"X")</f>
        <v/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</row>
    <row r="14" ht="18" customHeight="1">
      <c r="C14" s="15" t="inlineStr">
        <is>
          <t>IMAT 311</t>
        </is>
      </c>
      <c r="D14" s="16" t="inlineStr">
        <is>
          <t>Cálculo Avanzado</t>
        </is>
      </c>
      <c r="E14" s="13" t="n"/>
      <c r="F14" s="15">
        <f>SUM(G14:I14)</f>
        <v/>
      </c>
      <c r="G14" s="17">
        <f>COUNTIF(J14:P14,"X")</f>
        <v/>
      </c>
      <c r="H14" s="17">
        <f>COUNTIF(Q14:AR14,"X")</f>
        <v/>
      </c>
      <c r="I14" s="17">
        <f>COUNTIF(AS14:BV14,"X")</f>
        <v/>
      </c>
      <c r="J14" s="9" t="n"/>
      <c r="K14" s="9" t="n"/>
      <c r="L14" s="9" t="n"/>
      <c r="M14" s="9" t="n"/>
      <c r="N14" s="9" t="n"/>
      <c r="O14" s="19" t="inlineStr">
        <is>
          <t>X</t>
        </is>
      </c>
      <c r="P14" s="9" t="n"/>
      <c r="Q14" s="9" t="n"/>
      <c r="R14" s="9" t="n"/>
      <c r="S14" s="9" t="n"/>
      <c r="T14" s="9" t="n"/>
      <c r="U14" s="9" t="n"/>
      <c r="V14" s="9" t="n"/>
      <c r="W14" s="9" t="n"/>
      <c r="X14" s="20" t="inlineStr">
        <is>
          <t>X</t>
        </is>
      </c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18" t="inlineStr">
        <is>
          <t>X</t>
        </is>
      </c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</row>
    <row r="15" ht="18" customHeight="1">
      <c r="C15" s="15" t="inlineStr">
        <is>
          <t>IMAT 312</t>
        </is>
      </c>
      <c r="D15" s="16" t="inlineStr">
        <is>
          <t>Métodos Numéricos</t>
        </is>
      </c>
      <c r="E15" s="13" t="n"/>
      <c r="F15" s="15">
        <f>SUM(G15:I15)</f>
        <v/>
      </c>
      <c r="G15" s="17">
        <f>COUNTIF(J15:P15,"X")</f>
        <v/>
      </c>
      <c r="H15" s="17">
        <f>COUNTIF(Q15:AR15,"X")</f>
        <v/>
      </c>
      <c r="I15" s="17">
        <f>COUNTIF(AS15:BV15,"X")</f>
        <v/>
      </c>
      <c r="J15" s="9" t="n"/>
      <c r="K15" s="9" t="n"/>
      <c r="L15" s="19" t="inlineStr">
        <is>
          <t>X</t>
        </is>
      </c>
      <c r="M15" s="19" t="inlineStr">
        <is>
          <t>X</t>
        </is>
      </c>
      <c r="N15" s="9" t="n"/>
      <c r="O15" s="19" t="inlineStr">
        <is>
          <t>X</t>
        </is>
      </c>
      <c r="P15" s="19" t="inlineStr">
        <is>
          <t>X</t>
        </is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20" t="inlineStr">
        <is>
          <t>X</t>
        </is>
      </c>
      <c r="AJ15" s="20" t="inlineStr">
        <is>
          <t>X</t>
        </is>
      </c>
      <c r="AK15" s="20" t="inlineStr">
        <is>
          <t>X</t>
        </is>
      </c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18" t="inlineStr">
        <is>
          <t>X</t>
        </is>
      </c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</row>
    <row r="16" ht="18" customHeight="1">
      <c r="C16" s="15" t="inlineStr">
        <is>
          <t>IMAT 315</t>
        </is>
      </c>
      <c r="D16" s="16" t="inlineStr">
        <is>
          <t>Idioma II</t>
        </is>
      </c>
      <c r="E16" s="13" t="n"/>
      <c r="F16" s="15">
        <f>SUM(G16:I16)</f>
        <v/>
      </c>
      <c r="G16" s="17">
        <f>COUNTIF(J16:P16,"X")</f>
        <v/>
      </c>
      <c r="H16" s="17">
        <f>COUNTIF(Q16:AR16,"X")</f>
        <v/>
      </c>
      <c r="I16" s="17">
        <f>COUNTIF(AS16:BV16,"X")</f>
        <v/>
      </c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18" t="inlineStr">
        <is>
          <t>X</t>
        </is>
      </c>
      <c r="BS16" s="18" t="inlineStr">
        <is>
          <t>X</t>
        </is>
      </c>
      <c r="BT16" s="9" t="n"/>
      <c r="BU16" s="9" t="n"/>
      <c r="BV16" s="9" t="n"/>
    </row>
    <row r="17" ht="18" customHeight="1">
      <c r="C17" s="15" t="inlineStr">
        <is>
          <t>IMAT 323</t>
        </is>
      </c>
      <c r="D17" s="16" t="inlineStr">
        <is>
          <t>Optimización</t>
        </is>
      </c>
      <c r="E17" s="13" t="n"/>
      <c r="F17" s="15">
        <f>SUM(G17:I17)</f>
        <v/>
      </c>
      <c r="G17" s="17">
        <f>COUNTIF(J17:P17,"X")</f>
        <v/>
      </c>
      <c r="H17" s="17">
        <f>COUNTIF(Q17:AR17,"X")</f>
        <v/>
      </c>
      <c r="I17" s="17">
        <f>COUNTIF(AS17:BV17,"X")</f>
        <v/>
      </c>
      <c r="J17" s="19" t="inlineStr">
        <is>
          <t>X</t>
        </is>
      </c>
      <c r="K17" s="19" t="inlineStr">
        <is>
          <t>X</t>
        </is>
      </c>
      <c r="L17" s="19" t="inlineStr">
        <is>
          <t>X</t>
        </is>
      </c>
      <c r="M17" s="9" t="n"/>
      <c r="N17" s="9" t="n"/>
      <c r="O17" s="9" t="n"/>
      <c r="P17" s="19" t="inlineStr">
        <is>
          <t>X</t>
        </is>
      </c>
      <c r="Q17" s="9" t="n"/>
      <c r="R17" s="9" t="n"/>
      <c r="S17" s="9" t="n"/>
      <c r="T17" s="9" t="n"/>
      <c r="U17" s="20" t="inlineStr">
        <is>
          <t>X</t>
        </is>
      </c>
      <c r="V17" s="9" t="n"/>
      <c r="W17" s="20" t="inlineStr">
        <is>
          <t>X</t>
        </is>
      </c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20" t="inlineStr">
        <is>
          <t>X</t>
        </is>
      </c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</row>
    <row r="18" ht="18" customHeight="1">
      <c r="C18" s="15" t="inlineStr">
        <is>
          <t>IMAT 325</t>
        </is>
      </c>
      <c r="D18" s="16" t="inlineStr">
        <is>
          <t>Idioma III</t>
        </is>
      </c>
      <c r="E18" s="13" t="n"/>
      <c r="F18" s="15">
        <f>SUM(G18:I18)</f>
        <v/>
      </c>
      <c r="G18" s="17">
        <f>COUNTIF(J18:P18,"X")</f>
        <v/>
      </c>
      <c r="H18" s="17">
        <f>COUNTIF(Q18:AR18,"X")</f>
        <v/>
      </c>
      <c r="I18" s="17">
        <f>COUNTIF(AS18:BV18,"X")</f>
        <v/>
      </c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18" t="inlineStr">
        <is>
          <t>X</t>
        </is>
      </c>
      <c r="BS18" s="18" t="inlineStr">
        <is>
          <t>X</t>
        </is>
      </c>
      <c r="BT18" s="9" t="n"/>
      <c r="BU18" s="9" t="n"/>
      <c r="BV18" s="9" t="n"/>
    </row>
    <row r="19" ht="18" customHeight="1">
      <c r="C19" s="15" t="inlineStr">
        <is>
          <t>IMAT 411</t>
        </is>
      </c>
      <c r="D19" s="16" t="inlineStr">
        <is>
          <t>Teoría de la Medida</t>
        </is>
      </c>
      <c r="E19" s="13" t="n"/>
      <c r="F19" s="15">
        <f>SUM(G19:I19)</f>
        <v/>
      </c>
      <c r="G19" s="17">
        <f>COUNTIF(J19:P19,"X")</f>
        <v/>
      </c>
      <c r="H19" s="17">
        <f>COUNTIF(Q19:AR19,"X")</f>
        <v/>
      </c>
      <c r="I19" s="17">
        <f>COUNTIF(AS19:BV19,"X")</f>
        <v/>
      </c>
      <c r="J19" s="9" t="n"/>
      <c r="K19" s="9" t="n"/>
      <c r="L19" s="9" t="n"/>
      <c r="M19" s="9" t="n"/>
      <c r="N19" s="9" t="n"/>
      <c r="O19" s="19" t="inlineStr">
        <is>
          <t>X</t>
        </is>
      </c>
      <c r="P19" s="19" t="inlineStr">
        <is>
          <t>X</t>
        </is>
      </c>
      <c r="Q19" s="9" t="n"/>
      <c r="R19" s="9" t="n"/>
      <c r="S19" s="9" t="n"/>
      <c r="T19" s="9" t="n"/>
      <c r="U19" s="20" t="inlineStr">
        <is>
          <t>X</t>
        </is>
      </c>
      <c r="V19" s="9" t="n"/>
      <c r="W19" s="9" t="n"/>
      <c r="X19" s="20" t="inlineStr">
        <is>
          <t>X</t>
        </is>
      </c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18" t="inlineStr">
        <is>
          <t>X</t>
        </is>
      </c>
      <c r="AV19" s="18" t="inlineStr">
        <is>
          <t>X</t>
        </is>
      </c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18" t="inlineStr">
        <is>
          <t>X</t>
        </is>
      </c>
      <c r="BS19" s="18" t="inlineStr">
        <is>
          <t>X</t>
        </is>
      </c>
      <c r="BT19" s="9" t="n"/>
      <c r="BU19" s="9" t="n"/>
      <c r="BV19" s="9" t="n"/>
    </row>
    <row r="20" ht="18" customHeight="1">
      <c r="C20" s="15" t="inlineStr">
        <is>
          <t>IMAT 412</t>
        </is>
      </c>
      <c r="D20" s="16" t="inlineStr">
        <is>
          <t>Inferencia Estadística</t>
        </is>
      </c>
      <c r="E20" s="13" t="n"/>
      <c r="F20" s="15">
        <f>SUM(G20:I20)</f>
        <v/>
      </c>
      <c r="G20" s="17">
        <f>COUNTIF(J20:P20,"X")</f>
        <v/>
      </c>
      <c r="H20" s="17">
        <f>COUNTIF(Q20:AR20,"X")</f>
        <v/>
      </c>
      <c r="I20" s="17">
        <f>COUNTIF(AS20:BV20,"X")</f>
        <v/>
      </c>
      <c r="J20" s="9" t="n"/>
      <c r="K20" s="9" t="n"/>
      <c r="L20" s="9" t="n"/>
      <c r="M20" s="19" t="inlineStr">
        <is>
          <t>X</t>
        </is>
      </c>
      <c r="N20" s="9" t="n"/>
      <c r="O20" s="9" t="n"/>
      <c r="P20" s="9" t="n"/>
      <c r="Q20" s="9" t="n"/>
      <c r="R20" s="9" t="n"/>
      <c r="S20" s="9" t="n"/>
      <c r="T20" s="9" t="n"/>
      <c r="U20" s="20" t="inlineStr">
        <is>
          <t>X</t>
        </is>
      </c>
      <c r="V20" s="9" t="n"/>
      <c r="W20" s="9" t="n"/>
      <c r="X20" s="9" t="n"/>
      <c r="Y20" s="9" t="n"/>
      <c r="Z20" s="20" t="inlineStr">
        <is>
          <t>X</t>
        </is>
      </c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18" t="inlineStr">
        <is>
          <t>X</t>
        </is>
      </c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18" t="inlineStr">
        <is>
          <t>X</t>
        </is>
      </c>
      <c r="BS20" s="9" t="n"/>
      <c r="BT20" s="9" t="n"/>
      <c r="BU20" s="9" t="n"/>
      <c r="BV20" s="18" t="inlineStr">
        <is>
          <t>X</t>
        </is>
      </c>
    </row>
    <row r="21" ht="18" customHeight="1">
      <c r="C21" s="15" t="inlineStr">
        <is>
          <t>IMAT 414</t>
        </is>
      </c>
      <c r="D21" s="16" t="inlineStr">
        <is>
          <t>TIPE II</t>
        </is>
      </c>
      <c r="E21" s="13" t="n"/>
      <c r="F21" s="15">
        <f>SUM(G21:I21)</f>
        <v/>
      </c>
      <c r="G21" s="17">
        <f>COUNTIF(J21:P21,"X")</f>
        <v/>
      </c>
      <c r="H21" s="17">
        <f>COUNTIF(Q21:AR21,"X")</f>
        <v/>
      </c>
      <c r="I21" s="17">
        <f>COUNTIF(AS21:BV21,"X")</f>
        <v/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18" t="inlineStr">
        <is>
          <t>X</t>
        </is>
      </c>
      <c r="AV21" s="9" t="n"/>
      <c r="AW21" s="9" t="n"/>
      <c r="AX21" s="9" t="n"/>
      <c r="AY21" s="9" t="n"/>
      <c r="AZ21" s="9" t="n"/>
      <c r="BA21" s="9" t="n"/>
      <c r="BB21" s="18" t="inlineStr">
        <is>
          <t>X</t>
        </is>
      </c>
      <c r="BC21" s="18" t="inlineStr">
        <is>
          <t>X</t>
        </is>
      </c>
      <c r="BD21" s="18" t="inlineStr">
        <is>
          <t>X</t>
        </is>
      </c>
      <c r="BE21" s="9" t="n"/>
      <c r="BF21" s="9" t="n"/>
      <c r="BG21" s="9" t="n"/>
      <c r="BH21" s="9" t="n"/>
      <c r="BI21" s="9" t="n"/>
      <c r="BJ21" s="18" t="inlineStr">
        <is>
          <t>X</t>
        </is>
      </c>
      <c r="BK21" s="18" t="inlineStr">
        <is>
          <t>X</t>
        </is>
      </c>
      <c r="BL21" s="18" t="inlineStr">
        <is>
          <t>X</t>
        </is>
      </c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18" t="inlineStr">
        <is>
          <t>X</t>
        </is>
      </c>
    </row>
    <row r="22" ht="18" customHeight="1">
      <c r="C22" s="15" t="inlineStr">
        <is>
          <t>IMAT 415</t>
        </is>
      </c>
      <c r="D22" s="16" t="inlineStr">
        <is>
          <t>Idioma IV</t>
        </is>
      </c>
      <c r="E22" s="13" t="n"/>
      <c r="F22" s="15">
        <f>SUM(G22:I22)</f>
        <v/>
      </c>
      <c r="G22" s="17">
        <f>COUNTIF(J22:P22,"X")</f>
        <v/>
      </c>
      <c r="H22" s="17">
        <f>COUNTIF(Q22:AR22,"X")</f>
        <v/>
      </c>
      <c r="I22" s="17">
        <f>COUNTIF(AS22:BV22,"X")</f>
        <v/>
      </c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18" t="inlineStr">
        <is>
          <t>X</t>
        </is>
      </c>
      <c r="BS22" s="18" t="inlineStr">
        <is>
          <t>X</t>
        </is>
      </c>
      <c r="BT22" s="18" t="inlineStr">
        <is>
          <t>X</t>
        </is>
      </c>
      <c r="BU22" s="18" t="inlineStr">
        <is>
          <t>X</t>
        </is>
      </c>
      <c r="BV22" s="18" t="inlineStr">
        <is>
          <t>X</t>
        </is>
      </c>
    </row>
    <row r="23" ht="18" customHeight="1">
      <c r="C23" s="15" t="inlineStr">
        <is>
          <t>IMAT 511</t>
        </is>
      </c>
      <c r="D23" s="16" t="inlineStr">
        <is>
          <t>Grafos</t>
        </is>
      </c>
      <c r="E23" s="13" t="n"/>
      <c r="F23" s="15">
        <f>SUM(G23:I23)</f>
        <v/>
      </c>
      <c r="G23" s="17">
        <f>COUNTIF(J23:P23,"X")</f>
        <v/>
      </c>
      <c r="H23" s="17">
        <f>COUNTIF(Q23:AR23,"X")</f>
        <v/>
      </c>
      <c r="I23" s="17">
        <f>COUNTIF(AS23:BV23,"X")</f>
        <v/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20" t="inlineStr">
        <is>
          <t>X</t>
        </is>
      </c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20" t="inlineStr">
        <is>
          <t>X</t>
        </is>
      </c>
      <c r="AN23" s="9" t="n"/>
      <c r="AO23" s="9" t="n"/>
      <c r="AP23" s="20" t="inlineStr">
        <is>
          <t>X</t>
        </is>
      </c>
      <c r="AQ23" s="9" t="n"/>
      <c r="AR23" s="9" t="n"/>
      <c r="AS23" s="9" t="n"/>
      <c r="AT23" s="9" t="n"/>
      <c r="AU23" s="9" t="n"/>
      <c r="AV23" s="9" t="n"/>
      <c r="AW23" s="9" t="n"/>
      <c r="AX23" s="18" t="inlineStr">
        <is>
          <t>X</t>
        </is>
      </c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</row>
    <row r="24" ht="18" customHeight="1">
      <c r="C24" s="15" t="inlineStr">
        <is>
          <t>IMAT 513</t>
        </is>
      </c>
      <c r="D24" s="16" t="inlineStr">
        <is>
          <t>Electivo de formación profesional III</t>
        </is>
      </c>
      <c r="E24" s="13" t="n"/>
      <c r="F24" s="15">
        <f>SUM(G24:I24)</f>
        <v/>
      </c>
      <c r="G24" s="17">
        <f>COUNTIF(J24:P24,"X")</f>
        <v/>
      </c>
      <c r="H24" s="17">
        <f>COUNTIF(Q24:AR24,"X")</f>
        <v/>
      </c>
      <c r="I24" s="17">
        <f>COUNTIF(AS24:BV24,"X")</f>
        <v/>
      </c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</row>
    <row r="25" ht="18" customHeight="1">
      <c r="C25" s="15" t="inlineStr">
        <is>
          <t>IMAT 514</t>
        </is>
      </c>
      <c r="D25" s="16" t="inlineStr">
        <is>
          <t>Electivo de Ingeniería I</t>
        </is>
      </c>
      <c r="E25" s="13" t="n"/>
      <c r="F25" s="15">
        <f>SUM(G25:I25)</f>
        <v/>
      </c>
      <c r="G25" s="17">
        <f>COUNTIF(J25:P25,"X")</f>
        <v/>
      </c>
      <c r="H25" s="17">
        <f>COUNTIF(Q25:AR25,"X")</f>
        <v/>
      </c>
      <c r="I25" s="17">
        <f>COUNTIF(AS25:BV25,"X")</f>
        <v/>
      </c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</row>
    <row r="26" ht="18" customHeight="1">
      <c r="C26" s="15" t="inlineStr">
        <is>
          <t>IMAT 515</t>
        </is>
      </c>
      <c r="D26" s="16" t="inlineStr">
        <is>
          <t>Práctica Básica</t>
        </is>
      </c>
      <c r="E26" s="13" t="n"/>
      <c r="F26" s="15">
        <f>SUM(G26:I26)</f>
        <v/>
      </c>
      <c r="G26" s="17">
        <f>COUNTIF(J26:P26,"X")</f>
        <v/>
      </c>
      <c r="H26" s="17">
        <f>COUNTIF(Q26:AR26,"X")</f>
        <v/>
      </c>
      <c r="I26" s="17">
        <f>COUNTIF(AS26:BV26,"X")</f>
        <v/>
      </c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20" t="inlineStr">
        <is>
          <t>X</t>
        </is>
      </c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18" t="inlineStr">
        <is>
          <t>X</t>
        </is>
      </c>
      <c r="BE26" s="9" t="n"/>
      <c r="BF26" s="9" t="n"/>
      <c r="BG26" s="9" t="n"/>
      <c r="BH26" s="9" t="n"/>
      <c r="BI26" s="9" t="n"/>
      <c r="BJ26" s="9" t="n"/>
      <c r="BK26" s="9" t="n"/>
      <c r="BL26" s="9" t="n"/>
      <c r="BM26" s="18" t="inlineStr">
        <is>
          <t>X</t>
        </is>
      </c>
      <c r="BN26" s="9" t="n"/>
      <c r="BO26" s="18" t="inlineStr">
        <is>
          <t>X</t>
        </is>
      </c>
      <c r="BP26" s="9" t="n"/>
      <c r="BQ26" s="18" t="inlineStr">
        <is>
          <t>X</t>
        </is>
      </c>
      <c r="BR26" s="9" t="n"/>
      <c r="BS26" s="18" t="inlineStr">
        <is>
          <t>X</t>
        </is>
      </c>
      <c r="BT26" s="18" t="inlineStr">
        <is>
          <t>X</t>
        </is>
      </c>
      <c r="BU26" s="18" t="inlineStr">
        <is>
          <t>X</t>
        </is>
      </c>
      <c r="BV26" s="18" t="inlineStr">
        <is>
          <t>X</t>
        </is>
      </c>
    </row>
    <row r="27" ht="18" customHeight="1">
      <c r="C27" s="15" t="inlineStr">
        <is>
          <t>IMAT 521</t>
        </is>
      </c>
      <c r="D27" s="16" t="inlineStr">
        <is>
          <t>Optimización Combinatorial</t>
        </is>
      </c>
      <c r="E27" s="13" t="n"/>
      <c r="F27" s="15">
        <f>SUM(G27:I27)</f>
        <v/>
      </c>
      <c r="G27" s="17">
        <f>COUNTIF(J27:P27,"X")</f>
        <v/>
      </c>
      <c r="H27" s="17">
        <f>COUNTIF(Q27:AR27,"X")</f>
        <v/>
      </c>
      <c r="I27" s="17">
        <f>COUNTIF(AS27:BV27,"X")</f>
        <v/>
      </c>
      <c r="J27" s="9" t="n"/>
      <c r="K27" s="9" t="n"/>
      <c r="L27" s="19" t="inlineStr">
        <is>
          <t>X</t>
        </is>
      </c>
      <c r="M27" s="9" t="n"/>
      <c r="N27" s="9" t="n"/>
      <c r="O27" s="9" t="n"/>
      <c r="P27" s="19" t="inlineStr">
        <is>
          <t>X</t>
        </is>
      </c>
      <c r="Q27" s="9" t="n"/>
      <c r="R27" s="9" t="n"/>
      <c r="S27" s="9" t="n"/>
      <c r="T27" s="9" t="n"/>
      <c r="U27" s="20" t="inlineStr">
        <is>
          <t>X</t>
        </is>
      </c>
      <c r="V27" s="9" t="n"/>
      <c r="W27" s="20" t="inlineStr">
        <is>
          <t>X</t>
        </is>
      </c>
      <c r="X27" s="9" t="n"/>
      <c r="Y27" s="20" t="inlineStr">
        <is>
          <t>X</t>
        </is>
      </c>
      <c r="Z27" s="9" t="n"/>
      <c r="AA27" s="9" t="n"/>
      <c r="AB27" s="20" t="inlineStr">
        <is>
          <t>X</t>
        </is>
      </c>
      <c r="AC27" s="9" t="n"/>
      <c r="AD27" s="20" t="inlineStr">
        <is>
          <t>X</t>
        </is>
      </c>
      <c r="AE27" s="9" t="n"/>
      <c r="AF27" s="9" t="n"/>
      <c r="AG27" s="9" t="n"/>
      <c r="AH27" s="9" t="n"/>
      <c r="AI27" s="9" t="n"/>
      <c r="AJ27" s="20" t="inlineStr">
        <is>
          <t>X</t>
        </is>
      </c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18" t="inlineStr">
        <is>
          <t>X</t>
        </is>
      </c>
      <c r="AW27" s="9" t="n"/>
      <c r="AX27" s="9" t="n"/>
      <c r="AY27" s="9" t="n"/>
      <c r="AZ27" s="9" t="n"/>
      <c r="BA27" s="9" t="n"/>
      <c r="BB27" s="9" t="n"/>
      <c r="BC27" s="9" t="n"/>
      <c r="BD27" s="18" t="inlineStr">
        <is>
          <t>X</t>
        </is>
      </c>
      <c r="BE27" s="18" t="inlineStr">
        <is>
          <t>X</t>
        </is>
      </c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18" t="inlineStr">
        <is>
          <t>X</t>
        </is>
      </c>
      <c r="BV27" s="9" t="n"/>
    </row>
    <row r="28" ht="18" customHeight="1">
      <c r="C28" s="15" t="inlineStr">
        <is>
          <t>IMAT 523</t>
        </is>
      </c>
      <c r="D28" s="16" t="inlineStr">
        <is>
          <t>Proyecto de Ingeniería</t>
        </is>
      </c>
      <c r="E28" s="13" t="n"/>
      <c r="F28" s="15">
        <f>SUM(G28:I28)</f>
        <v/>
      </c>
      <c r="G28" s="17">
        <f>COUNTIF(J28:P28,"X")</f>
        <v/>
      </c>
      <c r="H28" s="17">
        <f>COUNTIF(Q28:AR28,"X")</f>
        <v/>
      </c>
      <c r="I28" s="17">
        <f>COUNTIF(AS28:BV28,"X")</f>
        <v/>
      </c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20" t="inlineStr">
        <is>
          <t>X</t>
        </is>
      </c>
      <c r="AC28" s="20" t="inlineStr">
        <is>
          <t>X</t>
        </is>
      </c>
      <c r="AD28" s="20" t="inlineStr">
        <is>
          <t>X</t>
        </is>
      </c>
      <c r="AE28" s="9" t="n"/>
      <c r="AF28" s="9" t="n"/>
      <c r="AG28" s="9" t="n"/>
      <c r="AH28" s="9" t="n"/>
      <c r="AI28" s="9" t="n"/>
      <c r="AJ28" s="9" t="n"/>
      <c r="AK28" s="9" t="n"/>
      <c r="AL28" s="9" t="n"/>
      <c r="AM28" s="20" t="inlineStr">
        <is>
          <t>X</t>
        </is>
      </c>
      <c r="AN28" s="20" t="inlineStr">
        <is>
          <t>X</t>
        </is>
      </c>
      <c r="AO28" s="20" t="inlineStr">
        <is>
          <t>X</t>
        </is>
      </c>
      <c r="AP28" s="20" t="inlineStr">
        <is>
          <t>X</t>
        </is>
      </c>
      <c r="AQ28" s="20" t="inlineStr">
        <is>
          <t>X</t>
        </is>
      </c>
      <c r="AR28" s="20" t="inlineStr">
        <is>
          <t>X</t>
        </is>
      </c>
      <c r="AS28" s="9" t="n"/>
      <c r="AT28" s="9" t="n"/>
      <c r="AU28" s="9" t="n"/>
      <c r="AV28" s="9" t="n"/>
      <c r="AW28" s="18" t="inlineStr">
        <is>
          <t>X</t>
        </is>
      </c>
      <c r="AX28" s="18" t="inlineStr">
        <is>
          <t>X</t>
        </is>
      </c>
      <c r="AY28" s="9" t="n"/>
      <c r="AZ28" s="9" t="n"/>
      <c r="BA28" s="9" t="n"/>
      <c r="BB28" s="9" t="n"/>
      <c r="BC28" s="9" t="n"/>
      <c r="BD28" s="9" t="n"/>
      <c r="BE28" s="18" t="inlineStr">
        <is>
          <t>X</t>
        </is>
      </c>
      <c r="BF28" s="18" t="inlineStr">
        <is>
          <t>X</t>
        </is>
      </c>
      <c r="BG28" s="9" t="n"/>
      <c r="BH28" s="9" t="n"/>
      <c r="BI28" s="9" t="n"/>
      <c r="BJ28" s="9" t="n"/>
      <c r="BK28" s="9" t="n"/>
      <c r="BL28" s="9" t="n"/>
      <c r="BM28" s="18" t="inlineStr">
        <is>
          <t>X</t>
        </is>
      </c>
      <c r="BN28" s="18" t="inlineStr">
        <is>
          <t>X</t>
        </is>
      </c>
      <c r="BO28" s="9" t="n"/>
      <c r="BP28" s="9" t="n"/>
      <c r="BQ28" s="9" t="n"/>
      <c r="BR28" s="9" t="n"/>
      <c r="BS28" s="9" t="n"/>
      <c r="BT28" s="18" t="inlineStr">
        <is>
          <t>X</t>
        </is>
      </c>
      <c r="BU28" s="18" t="inlineStr">
        <is>
          <t>X</t>
        </is>
      </c>
      <c r="BV28" s="18" t="inlineStr">
        <is>
          <t>X</t>
        </is>
      </c>
    </row>
    <row r="29" ht="18" customHeight="1">
      <c r="C29" s="15" t="inlineStr">
        <is>
          <t>IMAT 524</t>
        </is>
      </c>
      <c r="D29" s="16" t="inlineStr">
        <is>
          <t>Electivo de formación profesional II</t>
        </is>
      </c>
      <c r="E29" s="13" t="n"/>
      <c r="F29" s="15">
        <f>SUM(G29:I29)</f>
        <v/>
      </c>
      <c r="G29" s="17">
        <f>COUNTIF(J29:P29,"X")</f>
        <v/>
      </c>
      <c r="H29" s="17">
        <f>COUNTIF(Q29:AR29,"X")</f>
        <v/>
      </c>
      <c r="I29" s="17">
        <f>COUNTIF(AS29:BV29,"X")</f>
        <v/>
      </c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</row>
    <row r="30" ht="18" customHeight="1">
      <c r="C30" s="15" t="inlineStr">
        <is>
          <t>IMAT 611</t>
        </is>
      </c>
      <c r="D30" s="16" t="inlineStr">
        <is>
          <t>Taller de Título</t>
        </is>
      </c>
      <c r="E30" s="13" t="n"/>
      <c r="F30" s="15">
        <f>SUM(G30:I30)</f>
        <v/>
      </c>
      <c r="G30" s="17">
        <f>COUNTIF(J30:P30,"X")</f>
        <v/>
      </c>
      <c r="H30" s="17">
        <f>COUNTIF(Q30:AR30,"X")</f>
        <v/>
      </c>
      <c r="I30" s="17">
        <f>COUNTIF(AS30:BV30,"X")</f>
        <v/>
      </c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20" t="inlineStr">
        <is>
          <t>X</t>
        </is>
      </c>
      <c r="AC30" s="20" t="inlineStr">
        <is>
          <t>X</t>
        </is>
      </c>
      <c r="AD30" s="20" t="inlineStr">
        <is>
          <t>X</t>
        </is>
      </c>
      <c r="AE30" s="9" t="n"/>
      <c r="AF30" s="9" t="n"/>
      <c r="AG30" s="9" t="n"/>
      <c r="AH30" s="9" t="n"/>
      <c r="AI30" s="9" t="n"/>
      <c r="AJ30" s="9" t="n"/>
      <c r="AK30" s="9" t="n"/>
      <c r="AL30" s="9" t="n"/>
      <c r="AM30" s="20" t="inlineStr">
        <is>
          <t>X</t>
        </is>
      </c>
      <c r="AN30" s="20" t="inlineStr">
        <is>
          <t>X</t>
        </is>
      </c>
      <c r="AO30" s="20" t="inlineStr">
        <is>
          <t>X</t>
        </is>
      </c>
      <c r="AP30" s="20" t="inlineStr">
        <is>
          <t>X</t>
        </is>
      </c>
      <c r="AQ30" s="20" t="inlineStr">
        <is>
          <t>X</t>
        </is>
      </c>
      <c r="AR30" s="20" t="inlineStr">
        <is>
          <t>X</t>
        </is>
      </c>
      <c r="AS30" s="9" t="n"/>
      <c r="AT30" s="9" t="n"/>
      <c r="AU30" s="9" t="n"/>
      <c r="AV30" s="9" t="n"/>
      <c r="AW30" s="18" t="inlineStr">
        <is>
          <t>X</t>
        </is>
      </c>
      <c r="AX30" s="18" t="inlineStr">
        <is>
          <t>X</t>
        </is>
      </c>
      <c r="AY30" s="9" t="n"/>
      <c r="AZ30" s="9" t="n"/>
      <c r="BA30" s="9" t="n"/>
      <c r="BB30" s="9" t="n"/>
      <c r="BC30" s="9" t="n"/>
      <c r="BD30" s="9" t="n"/>
      <c r="BE30" s="18" t="inlineStr">
        <is>
          <t>X</t>
        </is>
      </c>
      <c r="BF30" s="18" t="inlineStr">
        <is>
          <t>X</t>
        </is>
      </c>
      <c r="BG30" s="9" t="n"/>
      <c r="BH30" s="9" t="n"/>
      <c r="BI30" s="9" t="n"/>
      <c r="BJ30" s="9" t="n"/>
      <c r="BK30" s="9" t="n"/>
      <c r="BL30" s="9" t="n"/>
      <c r="BM30" s="18" t="inlineStr">
        <is>
          <t>X</t>
        </is>
      </c>
      <c r="BN30" s="18" t="inlineStr">
        <is>
          <t>X</t>
        </is>
      </c>
      <c r="BO30" s="9" t="n"/>
      <c r="BP30" s="9" t="n"/>
      <c r="BQ30" s="9" t="n"/>
      <c r="BR30" s="9" t="n"/>
      <c r="BS30" s="9" t="n"/>
      <c r="BT30" s="18" t="inlineStr">
        <is>
          <t>X</t>
        </is>
      </c>
      <c r="BU30" s="18" t="inlineStr">
        <is>
          <t>X</t>
        </is>
      </c>
      <c r="BV30" s="18" t="inlineStr">
        <is>
          <t>X</t>
        </is>
      </c>
    </row>
    <row r="31" ht="18" customHeight="1">
      <c r="C31" s="15" t="inlineStr">
        <is>
          <t>IMAT 612</t>
        </is>
      </c>
      <c r="D31" s="16" t="inlineStr">
        <is>
          <t>Práctica Profesional</t>
        </is>
      </c>
      <c r="E31" s="13" t="n"/>
      <c r="F31" s="15">
        <f>SUM(G31:I31)</f>
        <v/>
      </c>
      <c r="G31" s="17">
        <f>COUNTIF(J31:P31,"X")</f>
        <v/>
      </c>
      <c r="H31" s="17">
        <f>COUNTIF(Q31:AR31,"X")</f>
        <v/>
      </c>
      <c r="I31" s="17">
        <f>COUNTIF(AS31:BV31,"X")</f>
        <v/>
      </c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20" t="inlineStr">
        <is>
          <t>X</t>
        </is>
      </c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20" t="inlineStr">
        <is>
          <t>X</t>
        </is>
      </c>
      <c r="AN31" s="20" t="inlineStr">
        <is>
          <t>X</t>
        </is>
      </c>
      <c r="AO31" s="20" t="inlineStr">
        <is>
          <t>X</t>
        </is>
      </c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18" t="inlineStr">
        <is>
          <t>X</t>
        </is>
      </c>
      <c r="BE31" s="9" t="n"/>
      <c r="BF31" s="9" t="n"/>
      <c r="BG31" s="9" t="n"/>
      <c r="BH31" s="9" t="n"/>
      <c r="BI31" s="9" t="n"/>
      <c r="BJ31" s="9" t="n"/>
      <c r="BK31" s="9" t="n"/>
      <c r="BL31" s="9" t="n"/>
      <c r="BM31" s="18" t="inlineStr">
        <is>
          <t>X</t>
        </is>
      </c>
      <c r="BN31" s="9" t="n"/>
      <c r="BO31" s="18" t="inlineStr">
        <is>
          <t>X</t>
        </is>
      </c>
      <c r="BP31" s="9" t="n"/>
      <c r="BQ31" s="18" t="inlineStr">
        <is>
          <t>X</t>
        </is>
      </c>
      <c r="BR31" s="9" t="n"/>
      <c r="BS31" s="18" t="inlineStr">
        <is>
          <t>X</t>
        </is>
      </c>
      <c r="BT31" s="18" t="inlineStr">
        <is>
          <t>X</t>
        </is>
      </c>
      <c r="BU31" s="18" t="inlineStr">
        <is>
          <t>X</t>
        </is>
      </c>
      <c r="BV31" s="18" t="inlineStr">
        <is>
          <t>X</t>
        </is>
      </c>
    </row>
    <row r="32" ht="18" customHeight="1">
      <c r="C32" s="15" t="inlineStr">
        <is>
          <t>IMAT211</t>
        </is>
      </c>
      <c r="D32" s="16" t="inlineStr">
        <is>
          <t>Programación para Ingeniería</t>
        </is>
      </c>
      <c r="E32" s="13" t="n"/>
      <c r="F32" s="15">
        <f>SUM(G32:I32)</f>
        <v/>
      </c>
      <c r="G32" s="17">
        <f>COUNTIF(J32:P32,"X")</f>
        <v/>
      </c>
      <c r="H32" s="17">
        <f>COUNTIF(Q32:AR32,"X")</f>
        <v/>
      </c>
      <c r="I32" s="17">
        <f>COUNTIF(AS32:BV32,"X")</f>
        <v/>
      </c>
      <c r="J32" s="19" t="inlineStr">
        <is>
          <t>X</t>
        </is>
      </c>
      <c r="K32" s="19" t="inlineStr">
        <is>
          <t>X</t>
        </is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18" t="inlineStr">
        <is>
          <t>X</t>
        </is>
      </c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</row>
    <row r="33" ht="18" customHeight="1">
      <c r="C33" s="15" t="inlineStr">
        <is>
          <t>IMAT222</t>
        </is>
      </c>
      <c r="D33" s="16" t="inlineStr">
        <is>
          <t>Evaluación de Proyectos</t>
        </is>
      </c>
      <c r="E33" s="13" t="n"/>
      <c r="F33" s="15">
        <f>SUM(G33:I33)</f>
        <v/>
      </c>
      <c r="G33" s="17">
        <f>COUNTIF(J33:P33,"X")</f>
        <v/>
      </c>
      <c r="H33" s="17">
        <f>COUNTIF(Q33:AR33,"X")</f>
        <v/>
      </c>
      <c r="I33" s="17">
        <f>COUNTIF(AS33:BV33,"X")</f>
        <v/>
      </c>
      <c r="J33" s="9" t="n"/>
      <c r="K33" s="9" t="n"/>
      <c r="L33" s="9" t="n"/>
      <c r="M33" s="19" t="inlineStr">
        <is>
          <t>X</t>
        </is>
      </c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18" t="inlineStr">
        <is>
          <t>X</t>
        </is>
      </c>
      <c r="BL33" s="9" t="n"/>
      <c r="BM33" s="9" t="n"/>
      <c r="BN33" s="9" t="n"/>
      <c r="BO33" s="9" t="n"/>
      <c r="BP33" s="9" t="n"/>
      <c r="BQ33" s="9" t="n"/>
      <c r="BR33" s="18" t="inlineStr">
        <is>
          <t>X</t>
        </is>
      </c>
      <c r="BS33" s="9" t="n"/>
      <c r="BT33" s="9" t="n"/>
      <c r="BU33" s="9" t="n"/>
      <c r="BV33" s="18" t="inlineStr">
        <is>
          <t>X</t>
        </is>
      </c>
    </row>
    <row r="34" ht="18" customHeight="1">
      <c r="C34" s="15" t="inlineStr">
        <is>
          <t>IMAT313</t>
        </is>
      </c>
      <c r="D34" s="16" t="inlineStr">
        <is>
          <t>Combinatoria y Algoritmos</t>
        </is>
      </c>
      <c r="E34" s="13" t="n"/>
      <c r="F34" s="15">
        <f>SUM(G34:I34)</f>
        <v/>
      </c>
      <c r="G34" s="17">
        <f>COUNTIF(J34:P34,"X")</f>
        <v/>
      </c>
      <c r="H34" s="17">
        <f>COUNTIF(Q34:AR34,"X")</f>
        <v/>
      </c>
      <c r="I34" s="17">
        <f>COUNTIF(AS34:BV34,"X")</f>
        <v/>
      </c>
      <c r="J34" s="9" t="n"/>
      <c r="K34" s="9" t="n"/>
      <c r="L34" s="9" t="n"/>
      <c r="M34" s="9" t="n"/>
      <c r="N34" s="9" t="n"/>
      <c r="O34" s="9" t="n"/>
      <c r="P34" s="19" t="inlineStr">
        <is>
          <t>X</t>
        </is>
      </c>
      <c r="Q34" s="9" t="n"/>
      <c r="R34" s="20" t="inlineStr">
        <is>
          <t>X</t>
        </is>
      </c>
      <c r="S34" s="9" t="n"/>
      <c r="T34" s="20" t="inlineStr">
        <is>
          <t>X</t>
        </is>
      </c>
      <c r="U34" s="9" t="n"/>
      <c r="V34" s="9" t="n"/>
      <c r="W34" s="9" t="n"/>
      <c r="X34" s="9" t="n"/>
      <c r="Y34" s="20" t="inlineStr">
        <is>
          <t>X</t>
        </is>
      </c>
      <c r="Z34" s="9" t="n"/>
      <c r="AA34" s="9" t="n"/>
      <c r="AB34" s="9" t="n"/>
      <c r="AC34" s="9" t="n"/>
      <c r="AD34" s="9" t="n"/>
      <c r="AE34" s="9" t="n"/>
      <c r="AF34" s="20" t="inlineStr">
        <is>
          <t>X</t>
        </is>
      </c>
      <c r="AG34" s="9" t="n"/>
      <c r="AH34" s="20" t="inlineStr">
        <is>
          <t>X</t>
        </is>
      </c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18" t="inlineStr">
        <is>
          <t>X</t>
        </is>
      </c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18" t="inlineStr">
        <is>
          <t>X</t>
        </is>
      </c>
      <c r="BP34" s="9" t="n"/>
      <c r="BQ34" s="9" t="n"/>
      <c r="BR34" s="9" t="n"/>
      <c r="BS34" s="9" t="n"/>
      <c r="BT34" s="9" t="n"/>
      <c r="BU34" s="9" t="n"/>
      <c r="BV34" s="9" t="n"/>
    </row>
    <row r="35" ht="18" customHeight="1">
      <c r="C35" s="15" t="inlineStr">
        <is>
          <t>IMAT314</t>
        </is>
      </c>
      <c r="D35" s="16" t="inlineStr">
        <is>
          <t>Estructuras Algebraicas</t>
        </is>
      </c>
      <c r="E35" s="13" t="n"/>
      <c r="F35" s="15">
        <f>SUM(G35:I35)</f>
        <v/>
      </c>
      <c r="G35" s="17">
        <f>COUNTIF(J35:P35,"X")</f>
        <v/>
      </c>
      <c r="H35" s="17">
        <f>COUNTIF(Q35:AR35,"X")</f>
        <v/>
      </c>
      <c r="I35" s="17">
        <f>COUNTIF(AS35:BV35,"X")</f>
        <v/>
      </c>
      <c r="J35" s="9" t="n"/>
      <c r="K35" s="9" t="n"/>
      <c r="L35" s="9" t="n"/>
      <c r="M35" s="9" t="n"/>
      <c r="N35" s="9" t="n"/>
      <c r="O35" s="9" t="n"/>
      <c r="P35" s="19" t="inlineStr">
        <is>
          <t>X</t>
        </is>
      </c>
      <c r="Q35" s="9" t="n"/>
      <c r="R35" s="9" t="n"/>
      <c r="S35" s="20" t="inlineStr">
        <is>
          <t>X</t>
        </is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18" t="inlineStr">
        <is>
          <t>X</t>
        </is>
      </c>
      <c r="AU35" s="9" t="n"/>
      <c r="AV35" s="9" t="n"/>
      <c r="AW35" s="9" t="n"/>
      <c r="AX35" s="9" t="n"/>
      <c r="AY35" s="9" t="n"/>
      <c r="AZ35" s="9" t="n"/>
      <c r="BA35" s="18" t="inlineStr">
        <is>
          <t>X</t>
        </is>
      </c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</row>
    <row r="36" ht="18" customHeight="1">
      <c r="C36" s="15" t="inlineStr">
        <is>
          <t>IMAT321</t>
        </is>
      </c>
      <c r="D36" s="16" t="inlineStr">
        <is>
          <t>Análisis</t>
        </is>
      </c>
      <c r="E36" s="13" t="n"/>
      <c r="F36" s="15">
        <f>SUM(G36:I36)</f>
        <v/>
      </c>
      <c r="G36" s="17">
        <f>COUNTIF(J36:P36,"X")</f>
        <v/>
      </c>
      <c r="H36" s="17">
        <f>COUNTIF(Q36:AR36,"X")</f>
        <v/>
      </c>
      <c r="I36" s="17">
        <f>COUNTIF(AS36:BV36,"X")</f>
        <v/>
      </c>
      <c r="J36" s="9" t="n"/>
      <c r="K36" s="9" t="n"/>
      <c r="L36" s="9" t="n"/>
      <c r="M36" s="9" t="n"/>
      <c r="N36" s="9" t="n"/>
      <c r="O36" s="19" t="inlineStr">
        <is>
          <t>X</t>
        </is>
      </c>
      <c r="P36" s="19" t="inlineStr">
        <is>
          <t>X</t>
        </is>
      </c>
      <c r="Q36" s="9" t="n"/>
      <c r="R36" s="9" t="n"/>
      <c r="S36" s="9" t="n"/>
      <c r="T36" s="9" t="n"/>
      <c r="U36" s="20" t="inlineStr">
        <is>
          <t>X</t>
        </is>
      </c>
      <c r="V36" s="9" t="n"/>
      <c r="W36" s="9" t="n"/>
      <c r="X36" s="20" t="inlineStr">
        <is>
          <t>X</t>
        </is>
      </c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18" t="inlineStr">
        <is>
          <t>X</t>
        </is>
      </c>
      <c r="AV36" s="18" t="inlineStr">
        <is>
          <t>X</t>
        </is>
      </c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18" t="inlineStr">
        <is>
          <t>X</t>
        </is>
      </c>
      <c r="BS36" s="18" t="inlineStr">
        <is>
          <t>X</t>
        </is>
      </c>
      <c r="BT36" s="9" t="n"/>
      <c r="BU36" s="9" t="n"/>
      <c r="BV36" s="9" t="n"/>
    </row>
    <row r="37" ht="18" customHeight="1">
      <c r="C37" s="15" t="inlineStr">
        <is>
          <t>IMAT322</t>
        </is>
      </c>
      <c r="D37" s="16" t="inlineStr">
        <is>
          <t>Cálculo de Probabilidades</t>
        </is>
      </c>
      <c r="E37" s="13" t="n"/>
      <c r="F37" s="15">
        <f>SUM(G37:I37)</f>
        <v/>
      </c>
      <c r="G37" s="17">
        <f>COUNTIF(J37:P37,"X")</f>
        <v/>
      </c>
      <c r="H37" s="17">
        <f>COUNTIF(Q37:AR37,"X")</f>
        <v/>
      </c>
      <c r="I37" s="17">
        <f>COUNTIF(AS37:BV37,"X")</f>
        <v/>
      </c>
      <c r="J37" s="9" t="n"/>
      <c r="K37" s="9" t="n"/>
      <c r="L37" s="19" t="inlineStr">
        <is>
          <t>X</t>
        </is>
      </c>
      <c r="M37" s="9" t="n"/>
      <c r="N37" s="9" t="n"/>
      <c r="O37" s="9" t="n"/>
      <c r="P37" s="9" t="n"/>
      <c r="Q37" s="9" t="n"/>
      <c r="R37" s="9" t="n"/>
      <c r="S37" s="9" t="n"/>
      <c r="T37" s="9" t="n"/>
      <c r="U37" s="20" t="inlineStr">
        <is>
          <t>X</t>
        </is>
      </c>
      <c r="V37" s="9" t="n"/>
      <c r="W37" s="9" t="n"/>
      <c r="X37" s="9" t="n"/>
      <c r="Y37" s="9" t="n"/>
      <c r="Z37" s="20" t="inlineStr">
        <is>
          <t>X</t>
        </is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20" t="inlineStr">
        <is>
          <t>X</t>
        </is>
      </c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18" t="inlineStr">
        <is>
          <t>X</t>
        </is>
      </c>
      <c r="AV37" s="9" t="n"/>
      <c r="AW37" s="9" t="n"/>
      <c r="AX37" s="9" t="n"/>
      <c r="AY37" s="9" t="n"/>
      <c r="AZ37" s="9" t="n"/>
      <c r="BA37" s="9" t="n"/>
      <c r="BB37" s="18" t="inlineStr">
        <is>
          <t>X</t>
        </is>
      </c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18" t="inlineStr">
        <is>
          <t>X</t>
        </is>
      </c>
      <c r="BS37" s="9" t="n"/>
      <c r="BT37" s="9" t="n"/>
      <c r="BU37" s="9" t="n"/>
      <c r="BV37" s="9" t="n"/>
    </row>
    <row r="38" ht="18" customHeight="1">
      <c r="C38" s="15" t="inlineStr">
        <is>
          <t>IMAT324</t>
        </is>
      </c>
      <c r="D38" s="16" t="inlineStr">
        <is>
          <t>TIPE I</t>
        </is>
      </c>
      <c r="E38" s="13" t="n"/>
      <c r="F38" s="15">
        <f>SUM(G38:I38)</f>
        <v/>
      </c>
      <c r="G38" s="17">
        <f>COUNTIF(J38:P38,"X")</f>
        <v/>
      </c>
      <c r="H38" s="17">
        <f>COUNTIF(Q38:AR38,"X")</f>
        <v/>
      </c>
      <c r="I38" s="17">
        <f>COUNTIF(AS38:BV38,"X")</f>
        <v/>
      </c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18" t="inlineStr">
        <is>
          <t>X</t>
        </is>
      </c>
      <c r="AV38" s="9" t="n"/>
      <c r="AW38" s="9" t="n"/>
      <c r="AX38" s="9" t="n"/>
      <c r="AY38" s="9" t="n"/>
      <c r="AZ38" s="9" t="n"/>
      <c r="BA38" s="9" t="n"/>
      <c r="BB38" s="18" t="inlineStr">
        <is>
          <t>X</t>
        </is>
      </c>
      <c r="BC38" s="18" t="inlineStr">
        <is>
          <t>X</t>
        </is>
      </c>
      <c r="BD38" s="18" t="inlineStr">
        <is>
          <t>X</t>
        </is>
      </c>
      <c r="BE38" s="9" t="n"/>
      <c r="BF38" s="9" t="n"/>
      <c r="BG38" s="9" t="n"/>
      <c r="BH38" s="9" t="n"/>
      <c r="BI38" s="9" t="n"/>
      <c r="BJ38" s="18" t="inlineStr">
        <is>
          <t>X</t>
        </is>
      </c>
      <c r="BK38" s="18" t="inlineStr">
        <is>
          <t>X</t>
        </is>
      </c>
      <c r="BL38" s="18" t="inlineStr">
        <is>
          <t>X</t>
        </is>
      </c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18" t="inlineStr">
        <is>
          <t>X</t>
        </is>
      </c>
    </row>
    <row r="39" ht="18" customHeight="1">
      <c r="C39" s="15" t="inlineStr">
        <is>
          <t>IMAT413</t>
        </is>
      </c>
      <c r="D39" s="16" t="inlineStr">
        <is>
          <t>Análisis Complejo</t>
        </is>
      </c>
      <c r="E39" s="13" t="n"/>
      <c r="F39" s="15">
        <f>SUM(G39:I39)</f>
        <v/>
      </c>
      <c r="G39" s="17">
        <f>COUNTIF(J39:P39,"X")</f>
        <v/>
      </c>
      <c r="H39" s="17">
        <f>COUNTIF(Q39:AR39,"X")</f>
        <v/>
      </c>
      <c r="I39" s="17">
        <f>COUNTIF(AS39:BV39,"X")</f>
        <v/>
      </c>
      <c r="J39" s="9" t="n"/>
      <c r="K39" s="9" t="n"/>
      <c r="L39" s="9" t="n"/>
      <c r="M39" s="9" t="n"/>
      <c r="N39" s="9" t="n"/>
      <c r="O39" s="9" t="n"/>
      <c r="P39" s="19" t="inlineStr">
        <is>
          <t>X</t>
        </is>
      </c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20" t="inlineStr">
        <is>
          <t>X</t>
        </is>
      </c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18" t="inlineStr">
        <is>
          <t>X</t>
        </is>
      </c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18" t="inlineStr">
        <is>
          <t>X</t>
        </is>
      </c>
      <c r="BS39" s="9" t="n"/>
      <c r="BT39" s="9" t="n"/>
      <c r="BU39" s="9" t="n"/>
      <c r="BV39" s="9" t="n"/>
    </row>
    <row r="40" ht="18" customHeight="1">
      <c r="C40" s="15" t="inlineStr">
        <is>
          <t>IMAT421</t>
        </is>
      </c>
      <c r="D40" s="16" t="inlineStr">
        <is>
          <t>Análisis Funcional</t>
        </is>
      </c>
      <c r="E40" s="13" t="n"/>
      <c r="F40" s="15">
        <f>SUM(G40:I40)</f>
        <v/>
      </c>
      <c r="G40" s="17">
        <f>COUNTIF(J40:P40,"X")</f>
        <v/>
      </c>
      <c r="H40" s="17">
        <f>COUNTIF(Q40:AR40,"X")</f>
        <v/>
      </c>
      <c r="I40" s="17">
        <f>COUNTIF(AS40:BV40,"X")</f>
        <v/>
      </c>
      <c r="J40" s="9" t="n"/>
      <c r="K40" s="9" t="n"/>
      <c r="L40" s="9" t="n"/>
      <c r="M40" s="9" t="n"/>
      <c r="N40" s="9" t="n"/>
      <c r="O40" s="19" t="inlineStr">
        <is>
          <t>X</t>
        </is>
      </c>
      <c r="P40" s="19" t="inlineStr">
        <is>
          <t>X</t>
        </is>
      </c>
      <c r="Q40" s="9" t="n"/>
      <c r="R40" s="9" t="n"/>
      <c r="S40" s="9" t="n"/>
      <c r="T40" s="9" t="n"/>
      <c r="U40" s="20" t="inlineStr">
        <is>
          <t>X</t>
        </is>
      </c>
      <c r="V40" s="9" t="n"/>
      <c r="W40" s="9" t="n"/>
      <c r="X40" s="20" t="inlineStr">
        <is>
          <t>X</t>
        </is>
      </c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18" t="inlineStr">
        <is>
          <t>X</t>
        </is>
      </c>
      <c r="AV40" s="18" t="inlineStr">
        <is>
          <t>X</t>
        </is>
      </c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18" t="inlineStr">
        <is>
          <t>X</t>
        </is>
      </c>
      <c r="BS40" s="18" t="inlineStr">
        <is>
          <t>X</t>
        </is>
      </c>
      <c r="BT40" s="9" t="n"/>
      <c r="BU40" s="9" t="n"/>
      <c r="BV40" s="9" t="n"/>
    </row>
    <row r="41" ht="18" customHeight="1">
      <c r="C41" s="15" t="inlineStr">
        <is>
          <t>IMAT422</t>
        </is>
      </c>
      <c r="D41" s="16" t="inlineStr">
        <is>
          <t>Procesos Estocásticos</t>
        </is>
      </c>
      <c r="E41" s="13" t="n"/>
      <c r="F41" s="15">
        <f>SUM(G41:I41)</f>
        <v/>
      </c>
      <c r="G41" s="17">
        <f>COUNTIF(J41:P41,"X")</f>
        <v/>
      </c>
      <c r="H41" s="17">
        <f>COUNTIF(Q41:AR41,"X")</f>
        <v/>
      </c>
      <c r="I41" s="17">
        <f>COUNTIF(AS41:BV41,"X")</f>
        <v/>
      </c>
      <c r="J41" s="9" t="n"/>
      <c r="K41" s="9" t="n"/>
      <c r="L41" s="9" t="n"/>
      <c r="M41" s="19" t="inlineStr">
        <is>
          <t>X</t>
        </is>
      </c>
      <c r="N41" s="9" t="n"/>
      <c r="O41" s="9" t="n"/>
      <c r="P41" s="19" t="inlineStr">
        <is>
          <t>X</t>
        </is>
      </c>
      <c r="Q41" s="9" t="n"/>
      <c r="R41" s="9" t="n"/>
      <c r="S41" s="9" t="n"/>
      <c r="T41" s="9" t="n"/>
      <c r="U41" s="20" t="inlineStr">
        <is>
          <t>X</t>
        </is>
      </c>
      <c r="V41" s="9" t="n"/>
      <c r="W41" s="9" t="n"/>
      <c r="X41" s="9" t="n"/>
      <c r="Y41" s="9" t="n"/>
      <c r="Z41" s="20" t="inlineStr">
        <is>
          <t>X</t>
        </is>
      </c>
      <c r="AA41" s="9" t="n"/>
      <c r="AB41" s="9" t="n"/>
      <c r="AC41" s="9" t="n"/>
      <c r="AD41" s="9" t="n"/>
      <c r="AE41" s="9" t="n"/>
      <c r="AF41" s="9" t="n"/>
      <c r="AG41" s="9" t="n"/>
      <c r="AH41" s="9" t="n"/>
      <c r="AI41" s="20" t="inlineStr">
        <is>
          <t>X</t>
        </is>
      </c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18" t="inlineStr">
        <is>
          <t>X</t>
        </is>
      </c>
      <c r="AW41" s="9" t="n"/>
      <c r="AX41" s="9" t="n"/>
      <c r="AY41" s="9" t="n"/>
      <c r="AZ41" s="9" t="n"/>
      <c r="BA41" s="9" t="n"/>
      <c r="BB41" s="9" t="n"/>
      <c r="BC41" s="18" t="inlineStr">
        <is>
          <t>X</t>
        </is>
      </c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18" t="inlineStr">
        <is>
          <t>X</t>
        </is>
      </c>
      <c r="BS41" s="9" t="n"/>
      <c r="BT41" s="9" t="n"/>
      <c r="BU41" s="9" t="n"/>
      <c r="BV41" s="9" t="n"/>
    </row>
    <row r="42" ht="18" customHeight="1">
      <c r="C42" s="15" t="inlineStr">
        <is>
          <t>IMAT424</t>
        </is>
      </c>
      <c r="D42" s="16" t="inlineStr">
        <is>
          <t>Taller de Integración al Perfil de Egreso Ingeniería Civil Matemática (TIPE ICM)</t>
        </is>
      </c>
      <c r="E42" s="13" t="n"/>
      <c r="F42" s="15">
        <f>SUM(G42:I42)</f>
        <v/>
      </c>
      <c r="G42" s="17">
        <f>COUNTIF(J42:P42,"X")</f>
        <v/>
      </c>
      <c r="H42" s="17">
        <f>COUNTIF(Q42:AR42,"X")</f>
        <v/>
      </c>
      <c r="I42" s="17">
        <f>COUNTIF(AS42:BV42,"X")</f>
        <v/>
      </c>
      <c r="J42" s="9" t="n"/>
      <c r="K42" s="9" t="n"/>
      <c r="L42" s="9" t="n"/>
      <c r="M42" s="19" t="inlineStr">
        <is>
          <t>X</t>
        </is>
      </c>
      <c r="N42" s="9" t="n"/>
      <c r="O42" s="9" t="n"/>
      <c r="P42" s="19" t="inlineStr">
        <is>
          <t>X</t>
        </is>
      </c>
      <c r="Q42" s="9" t="n"/>
      <c r="R42" s="9" t="n"/>
      <c r="S42" s="9" t="n"/>
      <c r="T42" s="9" t="n"/>
      <c r="U42" s="20" t="inlineStr">
        <is>
          <t>X</t>
        </is>
      </c>
      <c r="V42" s="9" t="n"/>
      <c r="W42" s="9" t="n"/>
      <c r="X42" s="9" t="n"/>
      <c r="Y42" s="9" t="n"/>
      <c r="Z42" s="20" t="inlineStr">
        <is>
          <t>X</t>
        </is>
      </c>
      <c r="AA42" s="9" t="n"/>
      <c r="AB42" s="9" t="n"/>
      <c r="AC42" s="9" t="n"/>
      <c r="AD42" s="9" t="n"/>
      <c r="AE42" s="9" t="n"/>
      <c r="AF42" s="9" t="n"/>
      <c r="AG42" s="9" t="n"/>
      <c r="AH42" s="9" t="n"/>
      <c r="AI42" s="20" t="inlineStr">
        <is>
          <t>X</t>
        </is>
      </c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18" t="inlineStr">
        <is>
          <t>X</t>
        </is>
      </c>
      <c r="AW42" s="9" t="n"/>
      <c r="AX42" s="9" t="n"/>
      <c r="AY42" s="9" t="n"/>
      <c r="AZ42" s="9" t="n"/>
      <c r="BA42" s="9" t="n"/>
      <c r="BB42" s="9" t="n"/>
      <c r="BC42" s="18" t="inlineStr">
        <is>
          <t>X</t>
        </is>
      </c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18" t="inlineStr">
        <is>
          <t>X</t>
        </is>
      </c>
      <c r="BS42" s="9" t="n"/>
      <c r="BT42" s="9" t="n"/>
      <c r="BU42" s="9" t="n"/>
      <c r="BV42" s="9" t="n"/>
    </row>
    <row r="43" ht="18" customHeight="1">
      <c r="C43" s="15" t="inlineStr">
        <is>
          <t>IMAT512</t>
        </is>
      </c>
      <c r="D43" s="16" t="inlineStr">
        <is>
          <t>Modelación Estocástica</t>
        </is>
      </c>
      <c r="E43" s="13" t="n"/>
      <c r="F43" s="15">
        <f>SUM(G43:I43)</f>
        <v/>
      </c>
      <c r="G43" s="17">
        <f>COUNTIF(J43:P43,"X")</f>
        <v/>
      </c>
      <c r="H43" s="17">
        <f>COUNTIF(Q43:AR43,"X")</f>
        <v/>
      </c>
      <c r="I43" s="17">
        <f>COUNTIF(AS43:BV43,"X")</f>
        <v/>
      </c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20" t="inlineStr">
        <is>
          <t>X</t>
        </is>
      </c>
      <c r="AC43" s="9" t="n"/>
      <c r="AD43" s="20" t="inlineStr">
        <is>
          <t>X</t>
        </is>
      </c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20" t="inlineStr">
        <is>
          <t>X</t>
        </is>
      </c>
      <c r="AS43" s="9" t="n"/>
      <c r="AT43" s="9" t="n"/>
      <c r="AU43" s="9" t="n"/>
      <c r="AV43" s="9" t="n"/>
      <c r="AW43" s="18" t="inlineStr">
        <is>
          <t>X</t>
        </is>
      </c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18" t="inlineStr">
        <is>
          <t>X</t>
        </is>
      </c>
    </row>
    <row r="44" ht="18" customHeight="1">
      <c r="C44" s="15" t="inlineStr">
        <is>
          <t>IMAT522</t>
        </is>
      </c>
      <c r="D44" s="16" t="inlineStr">
        <is>
          <t>Ecuaciones en Derivadas Parciales</t>
        </is>
      </c>
      <c r="E44" s="13" t="n"/>
      <c r="F44" s="15">
        <f>SUM(G44:I44)</f>
        <v/>
      </c>
      <c r="G44" s="17">
        <f>COUNTIF(J44:P44,"X")</f>
        <v/>
      </c>
      <c r="H44" s="17">
        <f>COUNTIF(Q44:AR44,"X")</f>
        <v/>
      </c>
      <c r="I44" s="17">
        <f>COUNTIF(AS44:BV44,"X")</f>
        <v/>
      </c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20" t="inlineStr">
        <is>
          <t>X</t>
        </is>
      </c>
      <c r="AC44" s="20" t="inlineStr">
        <is>
          <t>X</t>
        </is>
      </c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20" t="inlineStr">
        <is>
          <t>X</t>
        </is>
      </c>
      <c r="AR44" s="9" t="n"/>
      <c r="AS44" s="9" t="n"/>
      <c r="AT44" s="9" t="n"/>
      <c r="AU44" s="9" t="n"/>
      <c r="AV44" s="9" t="n"/>
      <c r="AW44" s="18" t="inlineStr">
        <is>
          <t>X</t>
        </is>
      </c>
      <c r="AX44" s="9" t="n"/>
      <c r="AY44" s="9" t="n"/>
      <c r="AZ44" s="9" t="n"/>
      <c r="BA44" s="9" t="n"/>
      <c r="BB44" s="9" t="n"/>
      <c r="BC44" s="9" t="n"/>
      <c r="BD44" s="9" t="n"/>
      <c r="BE44" s="18" t="inlineStr">
        <is>
          <t>X</t>
        </is>
      </c>
      <c r="BF44" s="18" t="inlineStr">
        <is>
          <t>X</t>
        </is>
      </c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18" t="inlineStr">
        <is>
          <t>X</t>
        </is>
      </c>
    </row>
    <row r="45" ht="18" customHeight="1">
      <c r="C45" s="15" t="inlineStr">
        <is>
          <t>QUI 121</t>
        </is>
      </c>
      <c r="D45" s="16" t="inlineStr">
        <is>
          <t>Química para Ingeniería</t>
        </is>
      </c>
      <c r="E45" s="13" t="n"/>
      <c r="F45" s="15">
        <f>SUM(G45:I45)</f>
        <v/>
      </c>
      <c r="G45" s="17">
        <f>COUNTIF(J45:P45,"X")</f>
        <v/>
      </c>
      <c r="H45" s="17">
        <f>COUNTIF(Q45:AR45,"X")</f>
        <v/>
      </c>
      <c r="I45" s="17">
        <f>COUNTIF(AS45:BV45,"X")</f>
        <v/>
      </c>
      <c r="J45" s="19" t="inlineStr">
        <is>
          <t>X</t>
        </is>
      </c>
      <c r="K45" s="19" t="inlineStr">
        <is>
          <t>X</t>
        </is>
      </c>
      <c r="L45" s="19" t="inlineStr">
        <is>
          <t>X</t>
        </is>
      </c>
      <c r="M45" s="19" t="inlineStr">
        <is>
          <t>X</t>
        </is>
      </c>
      <c r="N45" s="19" t="inlineStr">
        <is>
          <t>X</t>
        </is>
      </c>
      <c r="O45" s="19" t="inlineStr">
        <is>
          <t>X</t>
        </is>
      </c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18" t="inlineStr">
        <is>
          <t>X</t>
        </is>
      </c>
      <c r="BA45" s="9" t="n"/>
      <c r="BB45" s="9" t="n"/>
      <c r="BC45" s="9" t="n"/>
      <c r="BD45" s="18" t="inlineStr">
        <is>
          <t>X</t>
        </is>
      </c>
      <c r="BE45" s="9" t="n"/>
      <c r="BF45" s="18" t="inlineStr">
        <is>
          <t>X</t>
        </is>
      </c>
      <c r="BG45" s="9" t="n"/>
      <c r="BH45" s="9" t="n"/>
      <c r="BI45" s="9" t="n"/>
      <c r="BJ45" s="9" t="n"/>
      <c r="BK45" s="9" t="n"/>
      <c r="BL45" s="9" t="n"/>
      <c r="BM45" s="9" t="n"/>
      <c r="BN45" s="9" t="n"/>
      <c r="BO45" s="18" t="inlineStr">
        <is>
          <t>X</t>
        </is>
      </c>
      <c r="BP45" s="9" t="n"/>
      <c r="BQ45" s="9" t="n"/>
      <c r="BR45" s="9" t="n"/>
      <c r="BS45" s="9" t="n"/>
      <c r="BT45" s="18" t="inlineStr">
        <is>
          <t>X</t>
        </is>
      </c>
      <c r="BU45" s="9" t="n"/>
      <c r="BV45" s="9" t="n"/>
    </row>
    <row r="46" ht="18" customHeight="1">
      <c r="A46" s="21" t="inlineStr">
        <is>
          <t>N1</t>
        </is>
      </c>
      <c r="B46" s="22" t="n">
        <v>1</v>
      </c>
      <c r="C46" s="15" t="inlineStr">
        <is>
          <t>ING 111</t>
        </is>
      </c>
      <c r="D46" s="16" t="inlineStr">
        <is>
          <t>Desafíos de Ingeniería</t>
        </is>
      </c>
      <c r="E46" s="13" t="n"/>
      <c r="F46" s="15">
        <f>SUM(G46:I46)</f>
        <v/>
      </c>
      <c r="G46" s="17">
        <f>COUNTIF(J46:P46,"X")</f>
        <v/>
      </c>
      <c r="H46" s="17">
        <f>COUNTIF(Q46:AR46,"X")</f>
        <v/>
      </c>
      <c r="I46" s="17">
        <f>COUNTIF(AS46:BV46,"X")</f>
        <v/>
      </c>
      <c r="J46" s="19" t="inlineStr">
        <is>
          <t>X</t>
        </is>
      </c>
      <c r="K46" s="19" t="inlineStr">
        <is>
          <t>X</t>
        </is>
      </c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18" t="inlineStr">
        <is>
          <t>X</t>
        </is>
      </c>
      <c r="AZ46" s="18" t="inlineStr">
        <is>
          <t>X</t>
        </is>
      </c>
      <c r="BA46" s="18" t="inlineStr">
        <is>
          <t>X</t>
        </is>
      </c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18" t="inlineStr">
        <is>
          <t>X</t>
        </is>
      </c>
      <c r="BP46" s="9" t="n"/>
      <c r="BQ46" s="18" t="inlineStr">
        <is>
          <t>X</t>
        </is>
      </c>
      <c r="BR46" s="9" t="n"/>
      <c r="BS46" s="9" t="n"/>
      <c r="BT46" s="9" t="n"/>
      <c r="BU46" s="9" t="n"/>
      <c r="BV46" s="9" t="n"/>
    </row>
    <row r="47" ht="18" customHeight="1">
      <c r="C47" s="15" t="inlineStr">
        <is>
          <t>ING 121</t>
        </is>
      </c>
      <c r="D47" s="16" t="inlineStr">
        <is>
          <t>Ingeniería, Innovación y Emprendimiento.</t>
        </is>
      </c>
      <c r="E47" s="13" t="n"/>
      <c r="F47" s="15">
        <f>SUM(G47:I47)</f>
        <v/>
      </c>
      <c r="G47" s="17">
        <f>COUNTIF(J47:P47,"X")</f>
        <v/>
      </c>
      <c r="H47" s="17">
        <f>COUNTIF(Q47:AR47,"X")</f>
        <v/>
      </c>
      <c r="I47" s="17">
        <f>COUNTIF(AS47:BV47,"X")</f>
        <v/>
      </c>
      <c r="J47" s="19" t="inlineStr">
        <is>
          <t>X</t>
        </is>
      </c>
      <c r="K47" s="9" t="n"/>
      <c r="L47" s="9" t="n"/>
      <c r="M47" s="9" t="n"/>
      <c r="N47" s="19" t="inlineStr">
        <is>
          <t>X</t>
        </is>
      </c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18" t="inlineStr">
        <is>
          <t>X</t>
        </is>
      </c>
      <c r="AT47" s="18" t="inlineStr">
        <is>
          <t>X</t>
        </is>
      </c>
      <c r="AU47" s="9" t="n"/>
      <c r="AV47" s="9" t="n"/>
      <c r="AW47" s="9" t="n"/>
      <c r="AX47" s="9" t="n"/>
      <c r="AY47" s="18" t="inlineStr">
        <is>
          <t>X</t>
        </is>
      </c>
      <c r="AZ47" s="18" t="inlineStr">
        <is>
          <t>X</t>
        </is>
      </c>
      <c r="BA47" s="18" t="inlineStr">
        <is>
          <t>X</t>
        </is>
      </c>
      <c r="BB47" s="9" t="n"/>
      <c r="BC47" s="9" t="n"/>
      <c r="BD47" s="9" t="n"/>
      <c r="BE47" s="9" t="n"/>
      <c r="BF47" s="9" t="n"/>
      <c r="BG47" s="18" t="inlineStr">
        <is>
          <t>X</t>
        </is>
      </c>
      <c r="BH47" s="9" t="n"/>
      <c r="BI47" s="9" t="n"/>
      <c r="BJ47" s="9" t="n"/>
      <c r="BK47" s="9" t="n"/>
      <c r="BL47" s="9" t="n"/>
      <c r="BM47" s="9" t="n"/>
      <c r="BN47" s="9" t="n"/>
      <c r="BO47" s="18" t="inlineStr">
        <is>
          <t>X</t>
        </is>
      </c>
      <c r="BP47" s="9" t="n"/>
      <c r="BQ47" s="18" t="inlineStr">
        <is>
          <t>X</t>
        </is>
      </c>
      <c r="BR47" s="9" t="n"/>
      <c r="BS47" s="9" t="n"/>
      <c r="BT47" s="9" t="n"/>
      <c r="BU47" s="9" t="n"/>
      <c r="BV47" s="9" t="n"/>
    </row>
    <row r="48" ht="18" customHeight="1">
      <c r="C48" s="15" t="inlineStr">
        <is>
          <t>MAT 111</t>
        </is>
      </c>
      <c r="D48" s="16" t="inlineStr">
        <is>
          <t>Fundamentos de Matemática</t>
        </is>
      </c>
      <c r="E48" s="13" t="n"/>
      <c r="F48" s="15">
        <f>SUM(G48:I48)</f>
        <v/>
      </c>
      <c r="G48" s="17">
        <f>COUNTIF(J48:P48,"X")</f>
        <v/>
      </c>
      <c r="H48" s="17">
        <f>COUNTIF(Q48:AR48,"X")</f>
        <v/>
      </c>
      <c r="I48" s="17">
        <f>COUNTIF(AS48:BV48,"X")</f>
        <v/>
      </c>
      <c r="J48" s="19" t="inlineStr">
        <is>
          <t>X</t>
        </is>
      </c>
      <c r="K48" s="19" t="inlineStr">
        <is>
          <t>X</t>
        </is>
      </c>
      <c r="L48" s="19" t="inlineStr">
        <is>
          <t>X</t>
        </is>
      </c>
      <c r="M48" s="19" t="inlineStr">
        <is>
          <t>X</t>
        </is>
      </c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18" t="inlineStr">
        <is>
          <t>X</t>
        </is>
      </c>
      <c r="BP48" s="9" t="n"/>
      <c r="BQ48" s="9" t="n"/>
      <c r="BR48" s="9" t="n"/>
      <c r="BS48" s="9" t="n"/>
      <c r="BT48" s="18" t="inlineStr">
        <is>
          <t>X</t>
        </is>
      </c>
      <c r="BU48" s="9" t="n"/>
      <c r="BV48" s="9" t="n"/>
    </row>
    <row r="49" ht="18" customHeight="1">
      <c r="C49" s="15" t="inlineStr">
        <is>
          <t>PRO 111</t>
        </is>
      </c>
      <c r="D49" s="16" t="inlineStr">
        <is>
          <t>Fundamentos de Programación</t>
        </is>
      </c>
      <c r="E49" s="13" t="n"/>
      <c r="F49" s="15">
        <f>SUM(G49:I49)</f>
        <v/>
      </c>
      <c r="G49" s="17">
        <f>COUNTIF(J49:P49,"X")</f>
        <v/>
      </c>
      <c r="H49" s="17">
        <f>COUNTIF(Q49:AR49,"X")</f>
        <v/>
      </c>
      <c r="I49" s="17">
        <f>COUNTIF(AS49:BV49,"X")</f>
        <v/>
      </c>
      <c r="J49" s="19" t="inlineStr">
        <is>
          <t>X</t>
        </is>
      </c>
      <c r="K49" s="19" t="inlineStr">
        <is>
          <t>X</t>
        </is>
      </c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18" t="inlineStr">
        <is>
          <t>X</t>
        </is>
      </c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</row>
    <row r="50" ht="18" customHeight="1">
      <c r="A50" s="21" t="inlineStr">
        <is>
          <t>N1</t>
        </is>
      </c>
      <c r="B50" s="22" t="n">
        <v>2</v>
      </c>
      <c r="C50" s="15" t="inlineStr">
        <is>
          <t>MAT 121</t>
        </is>
      </c>
      <c r="D50" s="16" t="inlineStr">
        <is>
          <t>Cálculo Diferencial</t>
        </is>
      </c>
      <c r="E50" s="13" t="n"/>
      <c r="F50" s="15">
        <f>SUM(G50:I50)</f>
        <v/>
      </c>
      <c r="G50" s="17">
        <f>COUNTIF(J50:P50,"X")</f>
        <v/>
      </c>
      <c r="H50" s="17">
        <f>COUNTIF(Q50:AR50,"X")</f>
        <v/>
      </c>
      <c r="I50" s="17">
        <f>COUNTIF(AS50:BV50,"X")</f>
        <v/>
      </c>
      <c r="J50" s="19" t="inlineStr">
        <is>
          <t>X</t>
        </is>
      </c>
      <c r="K50" s="19" t="inlineStr">
        <is>
          <t>X</t>
        </is>
      </c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18" t="inlineStr">
        <is>
          <t>X</t>
        </is>
      </c>
      <c r="BP50" s="9" t="n"/>
      <c r="BQ50" s="9" t="n"/>
      <c r="BR50" s="9" t="n"/>
      <c r="BS50" s="9" t="n"/>
      <c r="BT50" s="9" t="n"/>
      <c r="BU50" s="9" t="n"/>
      <c r="BV50" s="9" t="n"/>
    </row>
    <row r="51" ht="18" customHeight="1">
      <c r="C51" s="15" t="inlineStr">
        <is>
          <t>MAT 122</t>
        </is>
      </c>
      <c r="D51" s="16" t="inlineStr">
        <is>
          <t>Álgebra</t>
        </is>
      </c>
      <c r="E51" s="13" t="n"/>
      <c r="F51" s="15">
        <f>SUM(G51:I51)</f>
        <v/>
      </c>
      <c r="G51" s="17">
        <f>COUNTIF(J51:P51,"X")</f>
        <v/>
      </c>
      <c r="H51" s="17">
        <f>COUNTIF(Q51:AR51,"X")</f>
        <v/>
      </c>
      <c r="I51" s="17">
        <f>COUNTIF(AS51:BV51,"X")</f>
        <v/>
      </c>
      <c r="J51" s="19" t="inlineStr">
        <is>
          <t>X</t>
        </is>
      </c>
      <c r="K51" s="19" t="inlineStr">
        <is>
          <t>X</t>
        </is>
      </c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18" t="inlineStr">
        <is>
          <t>X</t>
        </is>
      </c>
      <c r="BP51" s="9" t="n"/>
      <c r="BQ51" s="9" t="n"/>
      <c r="BR51" s="9" t="n"/>
      <c r="BS51" s="9" t="n"/>
      <c r="BT51" s="9" t="n"/>
      <c r="BU51" s="9" t="n"/>
      <c r="BV51" s="9" t="n"/>
    </row>
    <row r="52" ht="18" customHeight="1">
      <c r="C52" s="15" t="inlineStr">
        <is>
          <t>PRO 121</t>
        </is>
      </c>
      <c r="D52" s="16" t="inlineStr">
        <is>
          <t>Programación</t>
        </is>
      </c>
      <c r="E52" s="13" t="n"/>
      <c r="F52" s="15">
        <f>SUM(G52:I52)</f>
        <v/>
      </c>
      <c r="G52" s="17">
        <f>COUNTIF(J52:P52,"X")</f>
        <v/>
      </c>
      <c r="H52" s="17">
        <f>COUNTIF(Q52:AR52,"X")</f>
        <v/>
      </c>
      <c r="I52" s="17">
        <f>COUNTIF(AS52:BV52,"X")</f>
        <v/>
      </c>
      <c r="J52" s="19" t="inlineStr">
        <is>
          <t>X</t>
        </is>
      </c>
      <c r="K52" s="19" t="inlineStr">
        <is>
          <t>X</t>
        </is>
      </c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18" t="inlineStr">
        <is>
          <t>X</t>
        </is>
      </c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</row>
    <row r="53" ht="18" customHeight="1">
      <c r="A53" s="21" t="inlineStr">
        <is>
          <t>N1</t>
        </is>
      </c>
      <c r="B53" s="22" t="n">
        <v>4</v>
      </c>
      <c r="C53" s="15" t="inlineStr">
        <is>
          <t>MAT 221</t>
        </is>
      </c>
      <c r="D53" s="16" t="inlineStr">
        <is>
          <t>Cálculo en Varias Variables</t>
        </is>
      </c>
      <c r="E53" s="13" t="n"/>
      <c r="F53" s="15">
        <f>SUM(G53:I53)</f>
        <v/>
      </c>
      <c r="G53" s="17">
        <f>COUNTIF(J53:P53,"X")</f>
        <v/>
      </c>
      <c r="H53" s="17">
        <f>COUNTIF(Q53:AR53,"X")</f>
        <v/>
      </c>
      <c r="I53" s="17">
        <f>COUNTIF(AS53:BV53,"X")</f>
        <v/>
      </c>
      <c r="J53" s="19" t="inlineStr">
        <is>
          <t>X</t>
        </is>
      </c>
      <c r="K53" s="19" t="inlineStr">
        <is>
          <t>X</t>
        </is>
      </c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18" t="inlineStr">
        <is>
          <t>X</t>
        </is>
      </c>
      <c r="BP53" s="9" t="n"/>
      <c r="BQ53" s="9" t="n"/>
      <c r="BR53" s="9" t="n"/>
      <c r="BS53" s="9" t="n"/>
      <c r="BT53" s="9" t="n"/>
      <c r="BU53" s="9" t="n"/>
      <c r="BV53" s="9" t="n"/>
    </row>
    <row r="54" ht="18" customHeight="1">
      <c r="C54" s="15" t="inlineStr">
        <is>
          <t>MAT 222</t>
        </is>
      </c>
      <c r="D54" s="16" t="inlineStr">
        <is>
          <t>Ecuaciones Diferenciales Ordinarias</t>
        </is>
      </c>
      <c r="E54" s="13" t="n"/>
      <c r="F54" s="15">
        <f>SUM(G54:I54)</f>
        <v/>
      </c>
      <c r="G54" s="17">
        <f>COUNTIF(J54:P54,"X")</f>
        <v/>
      </c>
      <c r="H54" s="17">
        <f>COUNTIF(Q54:AR54,"X")</f>
        <v/>
      </c>
      <c r="I54" s="17">
        <f>COUNTIF(AS54:BV54,"X")</f>
        <v/>
      </c>
      <c r="J54" s="19" t="inlineStr">
        <is>
          <t>X</t>
        </is>
      </c>
      <c r="K54" s="19" t="inlineStr">
        <is>
          <t>X</t>
        </is>
      </c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18" t="inlineStr">
        <is>
          <t>X</t>
        </is>
      </c>
      <c r="BP54" s="9" t="n"/>
      <c r="BQ54" s="9" t="n"/>
      <c r="BR54" s="9" t="n"/>
      <c r="BS54" s="9" t="n"/>
      <c r="BT54" s="9" t="n"/>
      <c r="BU54" s="9" t="n"/>
      <c r="BV54" s="9" t="n"/>
    </row>
    <row r="55" ht="18" customHeight="1">
      <c r="A55" s="21" t="inlineStr">
        <is>
          <t>N2</t>
        </is>
      </c>
      <c r="B55" s="22" t="n">
        <v>5</v>
      </c>
      <c r="C55" s="15" t="inlineStr">
        <is>
          <t>MAT 211</t>
        </is>
      </c>
      <c r="D55" s="16" t="inlineStr">
        <is>
          <t>Cálculo Integral y Series</t>
        </is>
      </c>
      <c r="E55" s="13" t="n"/>
      <c r="F55" s="15">
        <f>SUM(G55:I55)</f>
        <v/>
      </c>
      <c r="G55" s="17">
        <f>COUNTIF(J55:P55,"X")</f>
        <v/>
      </c>
      <c r="H55" s="17">
        <f>COUNTIF(Q55:AR55,"X")</f>
        <v/>
      </c>
      <c r="I55" s="17">
        <f>COUNTIF(AS55:BV55,"X")</f>
        <v/>
      </c>
      <c r="J55" s="19" t="inlineStr">
        <is>
          <t>X</t>
        </is>
      </c>
      <c r="K55" s="19" t="inlineStr">
        <is>
          <t>X</t>
        </is>
      </c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18" t="inlineStr">
        <is>
          <t>X</t>
        </is>
      </c>
      <c r="BP55" s="9" t="n"/>
      <c r="BQ55" s="9" t="n"/>
      <c r="BR55" s="9" t="n"/>
      <c r="BS55" s="9" t="n"/>
      <c r="BT55" s="9" t="n"/>
      <c r="BU55" s="9" t="n"/>
      <c r="BV55" s="9" t="n"/>
    </row>
    <row r="56" ht="18" customHeight="1">
      <c r="C56" s="15" t="inlineStr">
        <is>
          <t>MAT 212</t>
        </is>
      </c>
      <c r="D56" s="16" t="inlineStr">
        <is>
          <t>Álgebra Lineal</t>
        </is>
      </c>
      <c r="E56" s="13" t="n"/>
      <c r="F56" s="15">
        <f>SUM(G56:I56)</f>
        <v/>
      </c>
      <c r="G56" s="17">
        <f>COUNTIF(J56:P56,"X")</f>
        <v/>
      </c>
      <c r="H56" s="17">
        <f>COUNTIF(Q56:AR56,"X")</f>
        <v/>
      </c>
      <c r="I56" s="17">
        <f>COUNTIF(AS56:BV56,"X")</f>
        <v/>
      </c>
      <c r="J56" s="19" t="inlineStr">
        <is>
          <t>X</t>
        </is>
      </c>
      <c r="K56" s="19" t="inlineStr">
        <is>
          <t>X</t>
        </is>
      </c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18" t="inlineStr">
        <is>
          <t>X</t>
        </is>
      </c>
      <c r="BP56" s="9" t="n"/>
      <c r="BQ56" s="9" t="n"/>
      <c r="BR56" s="9" t="n"/>
      <c r="BS56" s="9" t="n"/>
      <c r="BT56" s="9" t="n"/>
      <c r="BU56" s="9" t="n"/>
      <c r="BV56" s="9" t="n"/>
    </row>
  </sheetData>
  <mergeCells count="29">
    <mergeCell ref="AY3:BF3"/>
    <mergeCell ref="BG3:BN3"/>
    <mergeCell ref="J3:M3"/>
    <mergeCell ref="Q3:AD3"/>
    <mergeCell ref="B2:B3"/>
    <mergeCell ref="B46:B49"/>
    <mergeCell ref="D2:D3"/>
    <mergeCell ref="J2:P2"/>
    <mergeCell ref="F2:F3"/>
    <mergeCell ref="H2:H3"/>
    <mergeCell ref="Q2:AR2"/>
    <mergeCell ref="AE3:AR3"/>
    <mergeCell ref="A55:A56"/>
    <mergeCell ref="N3:P3"/>
    <mergeCell ref="AS2:BV2"/>
    <mergeCell ref="A2:A3"/>
    <mergeCell ref="C2:C3"/>
    <mergeCell ref="B50:B52"/>
    <mergeCell ref="E2:E3"/>
    <mergeCell ref="B53:B54"/>
    <mergeCell ref="AS3:AX3"/>
    <mergeCell ref="A1:BV1"/>
    <mergeCell ref="A46:A49"/>
    <mergeCell ref="BO3:BV3"/>
    <mergeCell ref="B55:B56"/>
    <mergeCell ref="A50:A52"/>
    <mergeCell ref="A53:A54"/>
    <mergeCell ref="G2:G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2026-06-23T22:57:45Z</dcterms:created>
  <dcterms:modified xmlns:dcterms="http://purl.org/dc/terms/" xmlns:xsi="http://www.w3.org/2001/XMLSchema-instance" xsi:type="dcterms:W3CDTF">2026-06-23T22:57:46Z</dcterms:modified>
</cp:coreProperties>
</file>
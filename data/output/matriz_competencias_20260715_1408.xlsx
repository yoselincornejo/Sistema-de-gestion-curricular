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e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color rgb="001F4E79"/>
      <sz val="8"/>
    </font>
    <font>
      <name val="Calibri"/>
      <color rgb="00375623"/>
      <sz val="8"/>
    </font>
    <font>
      <name val="Calibri"/>
      <color rgb="00843C0C"/>
      <sz val="8"/>
    </font>
    <font>
      <name val="Calibri"/>
      <b val="1"/>
      <color rgb="001F4E79"/>
      <sz val="14"/>
    </font>
    <font>
      <name val="Calibri"/>
      <b val="1"/>
      <color rgb="00000000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843C0C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bottom" textRotation="90"/>
    </xf>
    <xf numFmtId="0" fontId="5" fillId="4" borderId="1" applyAlignment="1" pivotButton="0" quotePrefix="0" xfId="0">
      <alignment horizontal="center" vertical="bottom" textRotation="90"/>
    </xf>
    <xf numFmtId="0" fontId="6" fillId="5" borderId="1" applyAlignment="1" pivotButton="0" quotePrefix="0" xfId="0">
      <alignment horizontal="center" vertical="bottom" textRotation="90"/>
    </xf>
    <xf numFmtId="0" fontId="0" fillId="2" borderId="1" pivotButton="0" quotePrefix="0" xfId="0"/>
    <xf numFmtId="0" fontId="2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textRotation="90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3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</cols>
  <sheetData>
    <row r="1" ht="22" customHeight="1">
      <c r="A1" s="1" t="inlineStr">
        <is>
          <t>MATRIZ DE TRIBUTACIÓN DE COMPETENCIAS — INGENIERÍA CIVIL MATEMÁTICA, PLAN 2025</t>
        </is>
      </c>
    </row>
    <row r="2">
      <c r="A2" s="2" t="inlineStr">
        <is>
          <t>Nivel</t>
        </is>
      </c>
      <c r="B2" s="2" t="inlineStr">
        <is>
          <t>Sem</t>
        </is>
      </c>
      <c r="C2" s="2" t="inlineStr">
        <is>
          <t>Código</t>
        </is>
      </c>
      <c r="D2" s="2" t="inlineStr">
        <is>
          <t>Nombre de Asignatura</t>
        </is>
      </c>
      <c r="E2" s="2" t="inlineStr">
        <is>
          <t>Créd.</t>
        </is>
      </c>
      <c r="F2" s="2" t="inlineStr">
        <is>
          <t>Total</t>
        </is>
      </c>
      <c r="G2" s="3" t="inlineStr">
        <is>
          <t>Lic.</t>
        </is>
      </c>
      <c r="H2" s="4" t="inlineStr">
        <is>
          <t>Tít.</t>
        </is>
      </c>
      <c r="I2" s="5" t="inlineStr">
        <is>
          <t>Sello</t>
        </is>
      </c>
      <c r="J2" s="6" t="inlineStr">
        <is>
          <t>Competencias de Licenciatura</t>
        </is>
      </c>
      <c r="Q2" s="7" t="inlineStr">
        <is>
          <t>Competencias Específicas del Título</t>
        </is>
      </c>
      <c r="AS2" s="8" t="inlineStr">
        <is>
          <t>Competencias Genéricas Sello UV</t>
        </is>
      </c>
    </row>
    <row r="3">
      <c r="J3" s="6" t="inlineStr">
        <is>
          <t>CL1</t>
        </is>
      </c>
      <c r="N3" s="6" t="inlineStr">
        <is>
          <t>CL2</t>
        </is>
      </c>
      <c r="Q3" s="7" t="inlineStr">
        <is>
          <t>CE1</t>
        </is>
      </c>
      <c r="AE3" s="7" t="inlineStr">
        <is>
          <t>CE2</t>
        </is>
      </c>
      <c r="AS3" s="8" t="inlineStr">
        <is>
          <t>CG1</t>
        </is>
      </c>
      <c r="AY3" s="8" t="inlineStr">
        <is>
          <t>CG2</t>
        </is>
      </c>
      <c r="BG3" s="8" t="inlineStr">
        <is>
          <t>CG3</t>
        </is>
      </c>
      <c r="BO3" s="8" t="inlineStr">
        <is>
          <t>CG4</t>
        </is>
      </c>
    </row>
    <row r="4" ht="8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10" t="inlineStr">
        <is>
          <t>CL1, ND1, RA1</t>
        </is>
      </c>
      <c r="K4" s="10" t="inlineStr">
        <is>
          <t>CL1, ND1, RA2</t>
        </is>
      </c>
      <c r="L4" s="10" t="inlineStr">
        <is>
          <t>CL1, ND2, RA1</t>
        </is>
      </c>
      <c r="M4" s="10" t="inlineStr">
        <is>
          <t>CL1, ND2, RA2</t>
        </is>
      </c>
      <c r="N4" s="10" t="inlineStr">
        <is>
          <t>CL2, ND1, RA1</t>
        </is>
      </c>
      <c r="O4" s="10" t="inlineStr">
        <is>
          <t>CL2, ND2, RA1</t>
        </is>
      </c>
      <c r="P4" s="10" t="inlineStr">
        <is>
          <t>CL2, ND2, RA2</t>
        </is>
      </c>
      <c r="Q4" s="11" t="inlineStr">
        <is>
          <t>CE1, ND1, RA1</t>
        </is>
      </c>
      <c r="R4" s="11" t="inlineStr">
        <is>
          <t>CE1, ND1, RA2</t>
        </is>
      </c>
      <c r="S4" s="11" t="inlineStr">
        <is>
          <t>CE1, ND1, RA3</t>
        </is>
      </c>
      <c r="T4" s="11" t="inlineStr">
        <is>
          <t>CE1, ND1, RA4</t>
        </is>
      </c>
      <c r="U4" s="11" t="inlineStr">
        <is>
          <t>CE1, ND2, RA1</t>
        </is>
      </c>
      <c r="V4" s="11" t="inlineStr">
        <is>
          <t>CE1, ND2, RA2</t>
        </is>
      </c>
      <c r="W4" s="11" t="inlineStr">
        <is>
          <t>CE1, ND2, RA3</t>
        </is>
      </c>
      <c r="X4" s="11" t="inlineStr">
        <is>
          <t>CE1, ND2, RA4</t>
        </is>
      </c>
      <c r="Y4" s="11" t="inlineStr">
        <is>
          <t>CE1, ND2, RA5</t>
        </is>
      </c>
      <c r="Z4" s="11" t="inlineStr">
        <is>
          <t>CE1, ND2, RA6</t>
        </is>
      </c>
      <c r="AA4" s="11" t="inlineStr">
        <is>
          <t>CE1, ND2, RA7</t>
        </is>
      </c>
      <c r="AB4" s="11" t="inlineStr">
        <is>
          <t>CE1, ND3, RA1</t>
        </is>
      </c>
      <c r="AC4" s="11" t="inlineStr">
        <is>
          <t>CE1, ND3, RA2</t>
        </is>
      </c>
      <c r="AD4" s="11" t="inlineStr">
        <is>
          <t>CE1, ND3, RA3</t>
        </is>
      </c>
      <c r="AE4" s="11" t="inlineStr">
        <is>
          <t>CE2, ND1, RA1</t>
        </is>
      </c>
      <c r="AF4" s="11" t="inlineStr">
        <is>
          <t>CE2, ND1, RA2</t>
        </is>
      </c>
      <c r="AG4" s="11" t="inlineStr">
        <is>
          <t>CE2, ND1, RA3</t>
        </is>
      </c>
      <c r="AH4" s="11" t="inlineStr">
        <is>
          <t>CE2, ND1, RA4</t>
        </is>
      </c>
      <c r="AI4" s="11" t="inlineStr">
        <is>
          <t>CE2, ND2, RA1</t>
        </is>
      </c>
      <c r="AJ4" s="11" t="inlineStr">
        <is>
          <t>CE2, ND2, RA2</t>
        </is>
      </c>
      <c r="AK4" s="11" t="inlineStr">
        <is>
          <t>CE2, ND2, RA3</t>
        </is>
      </c>
      <c r="AL4" s="11" t="inlineStr">
        <is>
          <t>CE2, ND2, RA4</t>
        </is>
      </c>
      <c r="AM4" s="11" t="inlineStr">
        <is>
          <t>CE2, ND3, RA1</t>
        </is>
      </c>
      <c r="AN4" s="11" t="inlineStr">
        <is>
          <t>CE2, ND3, RA2</t>
        </is>
      </c>
      <c r="AO4" s="11" t="inlineStr">
        <is>
          <t>CE2, ND3, RA3</t>
        </is>
      </c>
      <c r="AP4" s="11" t="inlineStr">
        <is>
          <t>CE2, ND3, RA4</t>
        </is>
      </c>
      <c r="AQ4" s="11" t="inlineStr">
        <is>
          <t>CE2, ND3, RA5</t>
        </is>
      </c>
      <c r="AR4" s="11" t="inlineStr">
        <is>
          <t>CE2, ND3, RA6</t>
        </is>
      </c>
      <c r="AS4" s="12" t="inlineStr">
        <is>
          <t>CG1, ND1, D1</t>
        </is>
      </c>
      <c r="AT4" s="12" t="inlineStr">
        <is>
          <t>CG1, ND1, D2</t>
        </is>
      </c>
      <c r="AU4" s="12" t="inlineStr">
        <is>
          <t>CG1, ND2, D1</t>
        </is>
      </c>
      <c r="AV4" s="12" t="inlineStr">
        <is>
          <t>CG1, ND2, D2</t>
        </is>
      </c>
      <c r="AW4" s="12" t="inlineStr">
        <is>
          <t>CG1, ND3, D1</t>
        </is>
      </c>
      <c r="AX4" s="12" t="inlineStr">
        <is>
          <t>CG1, ND3, D2</t>
        </is>
      </c>
      <c r="AY4" s="12" t="inlineStr">
        <is>
          <t>CG2, ND1, D1</t>
        </is>
      </c>
      <c r="AZ4" s="12" t="inlineStr">
        <is>
          <t>CG2, ND1, D2</t>
        </is>
      </c>
      <c r="BA4" s="12" t="inlineStr">
        <is>
          <t>CG2, ND1, D3</t>
        </is>
      </c>
      <c r="BB4" s="12" t="inlineStr">
        <is>
          <t>CG2, ND2, D1</t>
        </is>
      </c>
      <c r="BC4" s="12" t="inlineStr">
        <is>
          <t>CG2, ND2, D2</t>
        </is>
      </c>
      <c r="BD4" s="12" t="inlineStr">
        <is>
          <t>CG2, ND2, D3</t>
        </is>
      </c>
      <c r="BE4" s="12" t="inlineStr">
        <is>
          <t>CG2, ND3, D1</t>
        </is>
      </c>
      <c r="BF4" s="12" t="inlineStr">
        <is>
          <t>CG2, ND3, D2</t>
        </is>
      </c>
      <c r="BG4" s="12" t="inlineStr">
        <is>
          <t>CG3, ND1, D1</t>
        </is>
      </c>
      <c r="BH4" s="12" t="inlineStr">
        <is>
          <t>CG3, ND1, D2</t>
        </is>
      </c>
      <c r="BI4" s="12" t="inlineStr">
        <is>
          <t>CG3, ND1, D3</t>
        </is>
      </c>
      <c r="BJ4" s="12" t="inlineStr">
        <is>
          <t>CG3, ND2, D1</t>
        </is>
      </c>
      <c r="BK4" s="12" t="inlineStr">
        <is>
          <t>CG3, ND2, D2</t>
        </is>
      </c>
      <c r="BL4" s="12" t="inlineStr">
        <is>
          <t>CG3, ND2, D3</t>
        </is>
      </c>
      <c r="BM4" s="12" t="inlineStr">
        <is>
          <t>CG3, ND3, D1</t>
        </is>
      </c>
      <c r="BN4" s="12" t="inlineStr">
        <is>
          <t>CG3, ND3, D2</t>
        </is>
      </c>
      <c r="BO4" s="12" t="inlineStr">
        <is>
          <t>CG4, ND1, D1</t>
        </is>
      </c>
      <c r="BP4" s="12" t="inlineStr">
        <is>
          <t>CG4, ND1, D2</t>
        </is>
      </c>
      <c r="BQ4" s="12" t="inlineStr">
        <is>
          <t>CG4, ND1, D3</t>
        </is>
      </c>
      <c r="BR4" s="12" t="inlineStr">
        <is>
          <t>CG4, ND2, D1</t>
        </is>
      </c>
      <c r="BS4" s="12" t="inlineStr">
        <is>
          <t>CG4, ND2, D2</t>
        </is>
      </c>
      <c r="BT4" s="12" t="inlineStr">
        <is>
          <t>CG4, ND3, D1</t>
        </is>
      </c>
      <c r="BU4" s="12" t="inlineStr">
        <is>
          <t>CG4, ND3, D2</t>
        </is>
      </c>
      <c r="BV4" s="12" t="inlineStr">
        <is>
          <t>CG4, ND3, D3</t>
        </is>
      </c>
    </row>
    <row r="5" ht="16" customHeight="1">
      <c r="A5" s="13" t="inlineStr"/>
      <c r="B5" s="13" t="inlineStr"/>
      <c r="C5" s="13" t="inlineStr"/>
      <c r="D5" s="14" t="inlineStr">
        <is>
          <t>Subtotales por RA →</t>
        </is>
      </c>
      <c r="E5" s="13" t="inlineStr"/>
      <c r="F5" s="13" t="inlineStr"/>
      <c r="G5" s="13" t="inlineStr"/>
      <c r="H5" s="13" t="inlineStr"/>
      <c r="I5" s="13" t="inlineStr"/>
      <c r="J5" s="2">
        <f>COUNTIF(J6:J57,"X")</f>
        <v/>
      </c>
      <c r="K5" s="2">
        <f>COUNTIF(K6:K57,"X")</f>
        <v/>
      </c>
      <c r="L5" s="2">
        <f>COUNTIF(L6:L57,"X")</f>
        <v/>
      </c>
      <c r="M5" s="2">
        <f>COUNTIF(M6:M57,"X")</f>
        <v/>
      </c>
      <c r="N5" s="2">
        <f>COUNTIF(N6:N57,"X")</f>
        <v/>
      </c>
      <c r="O5" s="2">
        <f>COUNTIF(O6:O57,"X")</f>
        <v/>
      </c>
      <c r="P5" s="2">
        <f>COUNTIF(P6:P57,"X")</f>
        <v/>
      </c>
      <c r="Q5" s="2">
        <f>COUNTIF(Q6:Q57,"X")</f>
        <v/>
      </c>
      <c r="R5" s="2">
        <f>COUNTIF(R6:R57,"X")</f>
        <v/>
      </c>
      <c r="S5" s="2">
        <f>COUNTIF(S6:S57,"X")</f>
        <v/>
      </c>
      <c r="T5" s="2">
        <f>COUNTIF(T6:T57,"X")</f>
        <v/>
      </c>
      <c r="U5" s="2">
        <f>COUNTIF(U6:U57,"X")</f>
        <v/>
      </c>
      <c r="V5" s="2">
        <f>COUNTIF(V6:V57,"X")</f>
        <v/>
      </c>
      <c r="W5" s="2">
        <f>COUNTIF(W6:W57,"X")</f>
        <v/>
      </c>
      <c r="X5" s="2">
        <f>COUNTIF(X6:X57,"X")</f>
        <v/>
      </c>
      <c r="Y5" s="2">
        <f>COUNTIF(Y6:Y57,"X")</f>
        <v/>
      </c>
      <c r="Z5" s="2">
        <f>COUNTIF(Z6:Z57,"X")</f>
        <v/>
      </c>
      <c r="AA5" s="2">
        <f>COUNTIF(AA6:AA57,"X")</f>
        <v/>
      </c>
      <c r="AB5" s="2">
        <f>COUNTIF(AB6:AB57,"X")</f>
        <v/>
      </c>
      <c r="AC5" s="2">
        <f>COUNTIF(AC6:AC57,"X")</f>
        <v/>
      </c>
      <c r="AD5" s="2">
        <f>COUNTIF(AD6:AD57,"X")</f>
        <v/>
      </c>
      <c r="AE5" s="2">
        <f>COUNTIF(AE6:AE57,"X")</f>
        <v/>
      </c>
      <c r="AF5" s="2">
        <f>COUNTIF(AF6:AF57,"X")</f>
        <v/>
      </c>
      <c r="AG5" s="2">
        <f>COUNTIF(AG6:AG57,"X")</f>
        <v/>
      </c>
      <c r="AH5" s="2">
        <f>COUNTIF(AH6:AH57,"X")</f>
        <v/>
      </c>
      <c r="AI5" s="2">
        <f>COUNTIF(AI6:AI57,"X")</f>
        <v/>
      </c>
      <c r="AJ5" s="2">
        <f>COUNTIF(AJ6:AJ57,"X")</f>
        <v/>
      </c>
      <c r="AK5" s="2">
        <f>COUNTIF(AK6:AK57,"X")</f>
        <v/>
      </c>
      <c r="AL5" s="2">
        <f>COUNTIF(AL6:AL57,"X")</f>
        <v/>
      </c>
      <c r="AM5" s="2">
        <f>COUNTIF(AM6:AM57,"X")</f>
        <v/>
      </c>
      <c r="AN5" s="2">
        <f>COUNTIF(AN6:AN57,"X")</f>
        <v/>
      </c>
      <c r="AO5" s="2">
        <f>COUNTIF(AO6:AO57,"X")</f>
        <v/>
      </c>
      <c r="AP5" s="2">
        <f>COUNTIF(AP6:AP57,"X")</f>
        <v/>
      </c>
      <c r="AQ5" s="2">
        <f>COUNTIF(AQ6:AQ57,"X")</f>
        <v/>
      </c>
      <c r="AR5" s="2">
        <f>COUNTIF(AR6:AR57,"X")</f>
        <v/>
      </c>
      <c r="AS5" s="2">
        <f>COUNTIF(AS6:AS57,"X")</f>
        <v/>
      </c>
      <c r="AT5" s="2">
        <f>COUNTIF(AT6:AT57,"X")</f>
        <v/>
      </c>
      <c r="AU5" s="2">
        <f>COUNTIF(AU6:AU57,"X")</f>
        <v/>
      </c>
      <c r="AV5" s="2">
        <f>COUNTIF(AV6:AV57,"X")</f>
        <v/>
      </c>
      <c r="AW5" s="2">
        <f>COUNTIF(AW6:AW57,"X")</f>
        <v/>
      </c>
      <c r="AX5" s="2">
        <f>COUNTIF(AX6:AX57,"X")</f>
        <v/>
      </c>
      <c r="AY5" s="2">
        <f>COUNTIF(AY6:AY57,"X")</f>
        <v/>
      </c>
      <c r="AZ5" s="2">
        <f>COUNTIF(AZ6:AZ57,"X")</f>
        <v/>
      </c>
      <c r="BA5" s="2">
        <f>COUNTIF(BA6:BA57,"X")</f>
        <v/>
      </c>
      <c r="BB5" s="2">
        <f>COUNTIF(BB6:BB57,"X")</f>
        <v/>
      </c>
      <c r="BC5" s="2">
        <f>COUNTIF(BC6:BC57,"X")</f>
        <v/>
      </c>
      <c r="BD5" s="2">
        <f>COUNTIF(BD6:BD57,"X")</f>
        <v/>
      </c>
      <c r="BE5" s="2">
        <f>COUNTIF(BE6:BE57,"X")</f>
        <v/>
      </c>
      <c r="BF5" s="2">
        <f>COUNTIF(BF6:BF57,"X")</f>
        <v/>
      </c>
      <c r="BG5" s="2">
        <f>COUNTIF(BG6:BG57,"X")</f>
        <v/>
      </c>
      <c r="BH5" s="2">
        <f>COUNTIF(BH6:BH57,"X")</f>
        <v/>
      </c>
      <c r="BI5" s="2">
        <f>COUNTIF(BI6:BI57,"X")</f>
        <v/>
      </c>
      <c r="BJ5" s="2">
        <f>COUNTIF(BJ6:BJ57,"X")</f>
        <v/>
      </c>
      <c r="BK5" s="2">
        <f>COUNTIF(BK6:BK57,"X")</f>
        <v/>
      </c>
      <c r="BL5" s="2">
        <f>COUNTIF(BL6:BL57,"X")</f>
        <v/>
      </c>
      <c r="BM5" s="2">
        <f>COUNTIF(BM6:BM57,"X")</f>
        <v/>
      </c>
      <c r="BN5" s="2">
        <f>COUNTIF(BN6:BN57,"X")</f>
        <v/>
      </c>
      <c r="BO5" s="2">
        <f>COUNTIF(BO6:BO57,"X")</f>
        <v/>
      </c>
      <c r="BP5" s="2">
        <f>COUNTIF(BP6:BP57,"X")</f>
        <v/>
      </c>
      <c r="BQ5" s="2">
        <f>COUNTIF(BQ6:BQ57,"X")</f>
        <v/>
      </c>
      <c r="BR5" s="2">
        <f>COUNTIF(BR6:BR57,"X")</f>
        <v/>
      </c>
      <c r="BS5" s="2">
        <f>COUNTIF(BS6:BS57,"X")</f>
        <v/>
      </c>
      <c r="BT5" s="2">
        <f>COUNTIF(BT6:BT57,"X")</f>
        <v/>
      </c>
      <c r="BU5" s="2">
        <f>COUNTIF(BU6:BU57,"X")</f>
        <v/>
      </c>
      <c r="BV5" s="2">
        <f>COUNTIF(BV6:BV57,"X")</f>
        <v/>
      </c>
    </row>
    <row r="6" ht="18" customHeight="1">
      <c r="A6" s="15" t="inlineStr">
        <is>
          <t>N1</t>
        </is>
      </c>
      <c r="B6" s="16" t="n">
        <v>1</v>
      </c>
      <c r="C6" s="17" t="inlineStr">
        <is>
          <t>CFG 111</t>
        </is>
      </c>
      <c r="D6" s="18" t="inlineStr">
        <is>
          <t>Desarrollo Personal</t>
        </is>
      </c>
      <c r="E6" s="19" t="n">
        <v>5</v>
      </c>
      <c r="F6" s="17">
        <f>SUM(G6:I6)</f>
        <v/>
      </c>
      <c r="G6" s="20">
        <f>COUNTIF(J6:P6,"X")</f>
        <v/>
      </c>
      <c r="H6" s="20">
        <f>COUNTIF(Q6:AR6,"X")</f>
        <v/>
      </c>
      <c r="I6" s="20">
        <f>COUNTIF(AS6:BV6,"X")</f>
        <v/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21" t="inlineStr">
        <is>
          <t>X</t>
        </is>
      </c>
      <c r="AU6" s="9" t="n"/>
      <c r="AV6" s="9" t="n"/>
      <c r="AW6" s="9" t="n"/>
      <c r="AX6" s="9" t="n"/>
      <c r="AY6" s="21" t="inlineStr">
        <is>
          <t>X</t>
        </is>
      </c>
      <c r="AZ6" s="21" t="inlineStr">
        <is>
          <t>X</t>
        </is>
      </c>
      <c r="BA6" s="9" t="n"/>
      <c r="BB6" s="9" t="n"/>
      <c r="BC6" s="9" t="n"/>
      <c r="BD6" s="9" t="n"/>
      <c r="BE6" s="9" t="n"/>
      <c r="BF6" s="9" t="n"/>
      <c r="BG6" s="21" t="inlineStr">
        <is>
          <t>X</t>
        </is>
      </c>
      <c r="BH6" s="9" t="n"/>
      <c r="BI6" s="9" t="n"/>
      <c r="BJ6" s="9" t="n"/>
      <c r="BK6" s="9" t="n"/>
      <c r="BL6" s="9" t="n"/>
      <c r="BM6" s="9" t="n"/>
      <c r="BN6" s="9" t="n"/>
      <c r="BO6" s="21" t="inlineStr">
        <is>
          <t>X</t>
        </is>
      </c>
      <c r="BP6" s="21" t="inlineStr">
        <is>
          <t>X</t>
        </is>
      </c>
      <c r="BQ6" s="21" t="inlineStr">
        <is>
          <t>X</t>
        </is>
      </c>
      <c r="BR6" s="9" t="n"/>
      <c r="BS6" s="9" t="n"/>
      <c r="BT6" s="9" t="n"/>
      <c r="BU6" s="9" t="n"/>
      <c r="BV6" s="9" t="n"/>
    </row>
    <row r="7" ht="18" customHeight="1">
      <c r="C7" s="17" t="inlineStr">
        <is>
          <t>ING 111</t>
        </is>
      </c>
      <c r="D7" s="18" t="inlineStr">
        <is>
          <t>Desafíos de Ingeniería</t>
        </is>
      </c>
      <c r="E7" s="19" t="n">
        <v>6</v>
      </c>
      <c r="F7" s="17">
        <f>SUM(G7:I7)</f>
        <v/>
      </c>
      <c r="G7" s="20">
        <f>COUNTIF(J7:P7,"X")</f>
        <v/>
      </c>
      <c r="H7" s="20">
        <f>COUNTIF(Q7:AR7,"X")</f>
        <v/>
      </c>
      <c r="I7" s="20">
        <f>COUNTIF(AS7:BV7,"X")</f>
        <v/>
      </c>
      <c r="J7" s="22" t="inlineStr">
        <is>
          <t>X</t>
        </is>
      </c>
      <c r="K7" s="22" t="inlineStr">
        <is>
          <t>X</t>
        </is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21" t="inlineStr">
        <is>
          <t>X</t>
        </is>
      </c>
      <c r="AZ7" s="21" t="inlineStr">
        <is>
          <t>X</t>
        </is>
      </c>
      <c r="BA7" s="21" t="inlineStr">
        <is>
          <t>X</t>
        </is>
      </c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21" t="inlineStr">
        <is>
          <t>X</t>
        </is>
      </c>
      <c r="BP7" s="9" t="n"/>
      <c r="BQ7" s="21" t="inlineStr">
        <is>
          <t>X</t>
        </is>
      </c>
      <c r="BR7" s="9" t="n"/>
      <c r="BS7" s="9" t="n"/>
      <c r="BT7" s="9" t="n"/>
      <c r="BU7" s="9" t="n"/>
      <c r="BV7" s="9" t="n"/>
    </row>
    <row r="8" ht="18" customHeight="1">
      <c r="C8" s="17" t="inlineStr">
        <is>
          <t>MAT 111</t>
        </is>
      </c>
      <c r="D8" s="18" t="inlineStr">
        <is>
          <t>Fundamentos de Matemática</t>
        </is>
      </c>
      <c r="E8" s="19" t="n">
        <v>8</v>
      </c>
      <c r="F8" s="17">
        <f>SUM(G8:I8)</f>
        <v/>
      </c>
      <c r="G8" s="20">
        <f>COUNTIF(J8:P8,"X")</f>
        <v/>
      </c>
      <c r="H8" s="20">
        <f>COUNTIF(Q8:AR8,"X")</f>
        <v/>
      </c>
      <c r="I8" s="20">
        <f>COUNTIF(AS8:BV8,"X")</f>
        <v/>
      </c>
      <c r="J8" s="22" t="inlineStr">
        <is>
          <t>X</t>
        </is>
      </c>
      <c r="K8" s="22" t="inlineStr">
        <is>
          <t>X</t>
        </is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21" t="inlineStr">
        <is>
          <t>X</t>
        </is>
      </c>
      <c r="BP8" s="9" t="n"/>
      <c r="BQ8" s="9" t="n"/>
      <c r="BR8" s="9" t="n"/>
      <c r="BS8" s="9" t="n"/>
      <c r="BT8" s="9" t="n"/>
      <c r="BU8" s="9" t="n"/>
      <c r="BV8" s="9" t="n"/>
    </row>
    <row r="9" ht="18" customHeight="1">
      <c r="C9" s="17" t="inlineStr">
        <is>
          <t>PRO 111</t>
        </is>
      </c>
      <c r="D9" s="18" t="inlineStr">
        <is>
          <t>Fundamentos de Programación</t>
        </is>
      </c>
      <c r="E9" s="19" t="n">
        <v>5</v>
      </c>
      <c r="F9" s="17">
        <f>SUM(G9:I9)</f>
        <v/>
      </c>
      <c r="G9" s="20">
        <f>COUNTIF(J9:P9,"X")</f>
        <v/>
      </c>
      <c r="H9" s="20">
        <f>COUNTIF(Q9:AR9,"X")</f>
        <v/>
      </c>
      <c r="I9" s="20">
        <f>COUNTIF(AS9:BV9,"X")</f>
        <v/>
      </c>
      <c r="J9" s="22" t="inlineStr">
        <is>
          <t>X</t>
        </is>
      </c>
      <c r="K9" s="22" t="inlineStr">
        <is>
          <t>X</t>
        </is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21" t="inlineStr">
        <is>
          <t>X</t>
        </is>
      </c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</row>
    <row r="10" ht="18" customHeight="1">
      <c r="C10" s="17" t="inlineStr">
        <is>
          <t>QUI 121</t>
        </is>
      </c>
      <c r="D10" s="18" t="inlineStr">
        <is>
          <t>Química para Ingeniería</t>
        </is>
      </c>
      <c r="E10" s="19" t="n">
        <v>5</v>
      </c>
      <c r="F10" s="17">
        <f>SUM(G10:I10)</f>
        <v/>
      </c>
      <c r="G10" s="20">
        <f>COUNTIF(J10:P10,"X")</f>
        <v/>
      </c>
      <c r="H10" s="20">
        <f>COUNTIF(Q10:AR10,"X")</f>
        <v/>
      </c>
      <c r="I10" s="20">
        <f>COUNTIF(AS10:BV10,"X")</f>
        <v/>
      </c>
      <c r="J10" s="22" t="inlineStr">
        <is>
          <t>X</t>
        </is>
      </c>
      <c r="K10" s="22" t="inlineStr">
        <is>
          <t>X</t>
        </is>
      </c>
      <c r="L10" s="9" t="n"/>
      <c r="M10" s="9" t="n"/>
      <c r="N10" s="22" t="inlineStr">
        <is>
          <t>X</t>
        </is>
      </c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21" t="inlineStr">
        <is>
          <t>X</t>
        </is>
      </c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21" t="inlineStr">
        <is>
          <t>X</t>
        </is>
      </c>
      <c r="BP10" s="9" t="n"/>
      <c r="BQ10" s="9" t="n"/>
      <c r="BR10" s="9" t="n"/>
      <c r="BS10" s="9" t="n"/>
      <c r="BT10" s="9" t="n"/>
      <c r="BU10" s="9" t="n"/>
      <c r="BV10" s="9" t="n"/>
    </row>
    <row r="11" ht="18" customHeight="1">
      <c r="A11" s="15" t="inlineStr">
        <is>
          <t>N1</t>
        </is>
      </c>
      <c r="B11" s="16" t="n">
        <v>2</v>
      </c>
      <c r="C11" s="17" t="inlineStr">
        <is>
          <t>FIS 111</t>
        </is>
      </c>
      <c r="D11" s="18" t="inlineStr">
        <is>
          <t>Fundamentos de Física</t>
        </is>
      </c>
      <c r="E11" s="19" t="n">
        <v>6</v>
      </c>
      <c r="F11" s="17">
        <f>SUM(G11:I11)</f>
        <v/>
      </c>
      <c r="G11" s="20">
        <f>COUNTIF(J11:P11,"X")</f>
        <v/>
      </c>
      <c r="H11" s="20">
        <f>COUNTIF(Q11:AR11,"X")</f>
        <v/>
      </c>
      <c r="I11" s="20">
        <f>COUNTIF(AS11:BV11,"X")</f>
        <v/>
      </c>
      <c r="J11" s="22" t="inlineStr">
        <is>
          <t>X</t>
        </is>
      </c>
      <c r="K11" s="22" t="inlineStr">
        <is>
          <t>X</t>
        </is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21" t="inlineStr">
        <is>
          <t>X</t>
        </is>
      </c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21" t="inlineStr">
        <is>
          <t>X</t>
        </is>
      </c>
      <c r="BP11" s="9" t="n"/>
      <c r="BQ11" s="9" t="n"/>
      <c r="BR11" s="9" t="n"/>
      <c r="BS11" s="9" t="n"/>
      <c r="BT11" s="9" t="n"/>
      <c r="BU11" s="9" t="n"/>
      <c r="BV11" s="9" t="n"/>
    </row>
    <row r="12" ht="18" customHeight="1">
      <c r="C12" s="17" t="inlineStr">
        <is>
          <t>ING 121</t>
        </is>
      </c>
      <c r="D12" s="18" t="inlineStr">
        <is>
          <t>Ingeniería, Innovación y Emprendimiento.</t>
        </is>
      </c>
      <c r="E12" s="19" t="n">
        <v>6</v>
      </c>
      <c r="F12" s="17">
        <f>SUM(G12:I12)</f>
        <v/>
      </c>
      <c r="G12" s="20">
        <f>COUNTIF(J12:P12,"X")</f>
        <v/>
      </c>
      <c r="H12" s="20">
        <f>COUNTIF(Q12:AR12,"X")</f>
        <v/>
      </c>
      <c r="I12" s="20">
        <f>COUNTIF(AS12:BV12,"X")</f>
        <v/>
      </c>
      <c r="J12" s="22" t="inlineStr">
        <is>
          <t>X</t>
        </is>
      </c>
      <c r="K12" s="9" t="n"/>
      <c r="L12" s="9" t="n"/>
      <c r="M12" s="9" t="n"/>
      <c r="N12" s="22" t="inlineStr">
        <is>
          <t>X</t>
        </is>
      </c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21" t="inlineStr">
        <is>
          <t>X</t>
        </is>
      </c>
      <c r="AT12" s="21" t="inlineStr">
        <is>
          <t>X</t>
        </is>
      </c>
      <c r="AU12" s="9" t="n"/>
      <c r="AV12" s="9" t="n"/>
      <c r="AW12" s="9" t="n"/>
      <c r="AX12" s="9" t="n"/>
      <c r="AY12" s="21" t="inlineStr">
        <is>
          <t>X</t>
        </is>
      </c>
      <c r="AZ12" s="21" t="inlineStr">
        <is>
          <t>X</t>
        </is>
      </c>
      <c r="BA12" s="21" t="inlineStr">
        <is>
          <t>X</t>
        </is>
      </c>
      <c r="BB12" s="9" t="n"/>
      <c r="BC12" s="9" t="n"/>
      <c r="BD12" s="9" t="n"/>
      <c r="BE12" s="9" t="n"/>
      <c r="BF12" s="9" t="n"/>
      <c r="BG12" s="21" t="inlineStr">
        <is>
          <t>X</t>
        </is>
      </c>
      <c r="BH12" s="9" t="n"/>
      <c r="BI12" s="9" t="n"/>
      <c r="BJ12" s="9" t="n"/>
      <c r="BK12" s="9" t="n"/>
      <c r="BL12" s="9" t="n"/>
      <c r="BM12" s="9" t="n"/>
      <c r="BN12" s="9" t="n"/>
      <c r="BO12" s="21" t="inlineStr">
        <is>
          <t>X</t>
        </is>
      </c>
      <c r="BP12" s="9" t="n"/>
      <c r="BQ12" s="21" t="inlineStr">
        <is>
          <t>X</t>
        </is>
      </c>
      <c r="BR12" s="9" t="n"/>
      <c r="BS12" s="9" t="n"/>
      <c r="BT12" s="9" t="n"/>
      <c r="BU12" s="9" t="n"/>
      <c r="BV12" s="9" t="n"/>
    </row>
    <row r="13" ht="18" customHeight="1">
      <c r="C13" s="17" t="inlineStr">
        <is>
          <t>MAT 121</t>
        </is>
      </c>
      <c r="D13" s="18" t="inlineStr">
        <is>
          <t>Cálculo Diferencial</t>
        </is>
      </c>
      <c r="E13" s="19" t="n">
        <v>6</v>
      </c>
      <c r="F13" s="17">
        <f>SUM(G13:I13)</f>
        <v/>
      </c>
      <c r="G13" s="20">
        <f>COUNTIF(J13:P13,"X")</f>
        <v/>
      </c>
      <c r="H13" s="20">
        <f>COUNTIF(Q13:AR13,"X")</f>
        <v/>
      </c>
      <c r="I13" s="20">
        <f>COUNTIF(AS13:BV13,"X")</f>
        <v/>
      </c>
      <c r="J13" s="22" t="inlineStr">
        <is>
          <t>X</t>
        </is>
      </c>
      <c r="K13" s="22" t="inlineStr">
        <is>
          <t>X</t>
        </is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21" t="inlineStr">
        <is>
          <t>X</t>
        </is>
      </c>
      <c r="BP13" s="9" t="n"/>
      <c r="BQ13" s="9" t="n"/>
      <c r="BR13" s="9" t="n"/>
      <c r="BS13" s="9" t="n"/>
      <c r="BT13" s="9" t="n"/>
      <c r="BU13" s="9" t="n"/>
      <c r="BV13" s="9" t="n"/>
    </row>
    <row r="14" ht="18" customHeight="1">
      <c r="C14" s="17" t="inlineStr">
        <is>
          <t>MAT 122</t>
        </is>
      </c>
      <c r="D14" s="18" t="inlineStr">
        <is>
          <t>Álgebra</t>
        </is>
      </c>
      <c r="E14" s="19" t="n">
        <v>8</v>
      </c>
      <c r="F14" s="17">
        <f>SUM(G14:I14)</f>
        <v/>
      </c>
      <c r="G14" s="20">
        <f>COUNTIF(J14:P14,"X")</f>
        <v/>
      </c>
      <c r="H14" s="20">
        <f>COUNTIF(Q14:AR14,"X")</f>
        <v/>
      </c>
      <c r="I14" s="20">
        <f>COUNTIF(AS14:BV14,"X")</f>
        <v/>
      </c>
      <c r="J14" s="22" t="inlineStr">
        <is>
          <t>X</t>
        </is>
      </c>
      <c r="K14" s="22" t="inlineStr">
        <is>
          <t>X</t>
        </is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21" t="inlineStr">
        <is>
          <t>X</t>
        </is>
      </c>
      <c r="BP14" s="9" t="n"/>
      <c r="BQ14" s="9" t="n"/>
      <c r="BR14" s="9" t="n"/>
      <c r="BS14" s="9" t="n"/>
      <c r="BT14" s="9" t="n"/>
      <c r="BU14" s="9" t="n"/>
      <c r="BV14" s="9" t="n"/>
    </row>
    <row r="15" ht="18" customHeight="1">
      <c r="C15" s="17" t="inlineStr">
        <is>
          <t>PRO 121</t>
        </is>
      </c>
      <c r="D15" s="18" t="inlineStr">
        <is>
          <t>Programación</t>
        </is>
      </c>
      <c r="E15" s="19" t="n">
        <v>5</v>
      </c>
      <c r="F15" s="17">
        <f>SUM(G15:I15)</f>
        <v/>
      </c>
      <c r="G15" s="20">
        <f>COUNTIF(J15:P15,"X")</f>
        <v/>
      </c>
      <c r="H15" s="20">
        <f>COUNTIF(Q15:AR15,"X")</f>
        <v/>
      </c>
      <c r="I15" s="20">
        <f>COUNTIF(AS15:BV15,"X")</f>
        <v/>
      </c>
      <c r="J15" s="22" t="inlineStr">
        <is>
          <t>X</t>
        </is>
      </c>
      <c r="K15" s="22" t="inlineStr">
        <is>
          <t>X</t>
        </is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21" t="inlineStr">
        <is>
          <t>X</t>
        </is>
      </c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</row>
    <row r="16" ht="18" customHeight="1">
      <c r="A16" s="15" t="inlineStr">
        <is>
          <t>N1</t>
        </is>
      </c>
      <c r="B16" s="16" t="n">
        <v>3</v>
      </c>
      <c r="C16" s="17" t="inlineStr">
        <is>
          <t>FIS 211</t>
        </is>
      </c>
      <c r="D16" s="18" t="inlineStr">
        <is>
          <t>Física Mecánica</t>
        </is>
      </c>
      <c r="E16" s="19" t="n">
        <v>6</v>
      </c>
      <c r="F16" s="17">
        <f>SUM(G16:I16)</f>
        <v/>
      </c>
      <c r="G16" s="20">
        <f>COUNTIF(J16:P16,"X")</f>
        <v/>
      </c>
      <c r="H16" s="20">
        <f>COUNTIF(Q16:AR16,"X")</f>
        <v/>
      </c>
      <c r="I16" s="20">
        <f>COUNTIF(AS16:BV16,"X")</f>
        <v/>
      </c>
      <c r="J16" s="22" t="inlineStr">
        <is>
          <t>X</t>
        </is>
      </c>
      <c r="K16" s="22" t="inlineStr">
        <is>
          <t>X</t>
        </is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21" t="inlineStr">
        <is>
          <t>X</t>
        </is>
      </c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21" t="inlineStr">
        <is>
          <t>X</t>
        </is>
      </c>
      <c r="BP16" s="9" t="n"/>
      <c r="BQ16" s="9" t="n"/>
      <c r="BR16" s="9" t="n"/>
      <c r="BS16" s="9" t="n"/>
      <c r="BT16" s="9" t="n"/>
      <c r="BU16" s="9" t="n"/>
      <c r="BV16" s="9" t="n"/>
    </row>
    <row r="17" ht="18" customHeight="1">
      <c r="C17" s="17" t="inlineStr">
        <is>
          <t>IMAT 211</t>
        </is>
      </c>
      <c r="D17" s="18" t="inlineStr">
        <is>
          <t>Programación para Ingeniería</t>
        </is>
      </c>
      <c r="E17" s="19" t="n">
        <v>6</v>
      </c>
      <c r="F17" s="17">
        <f>SUM(G17:I17)</f>
        <v/>
      </c>
      <c r="G17" s="20">
        <f>COUNTIF(J17:P17,"X")</f>
        <v/>
      </c>
      <c r="H17" s="20">
        <f>COUNTIF(Q17:AR17,"X")</f>
        <v/>
      </c>
      <c r="I17" s="20">
        <f>COUNTIF(AS17:BV17,"X")</f>
        <v/>
      </c>
      <c r="J17" s="22" t="inlineStr">
        <is>
          <t>X</t>
        </is>
      </c>
      <c r="K17" s="22" t="inlineStr">
        <is>
          <t>X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21" t="inlineStr">
        <is>
          <t>X</t>
        </is>
      </c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</row>
    <row r="18" ht="18" customHeight="1">
      <c r="C18" s="17" t="inlineStr">
        <is>
          <t>IMAT 221</t>
        </is>
      </c>
      <c r="D18" s="18" t="inlineStr">
        <is>
          <t>Taller de Deducción Matemática</t>
        </is>
      </c>
      <c r="E18" s="19" t="n">
        <v>6</v>
      </c>
      <c r="F18" s="17">
        <f>SUM(G18:I18)</f>
        <v/>
      </c>
      <c r="G18" s="20">
        <f>COUNTIF(J18:P18,"X")</f>
        <v/>
      </c>
      <c r="H18" s="20">
        <f>COUNTIF(Q18:AR18,"X")</f>
        <v/>
      </c>
      <c r="I18" s="20">
        <f>COUNTIF(AS18:BV18,"X")</f>
        <v/>
      </c>
      <c r="J18" s="9" t="n"/>
      <c r="K18" s="9" t="n"/>
      <c r="L18" s="9" t="n"/>
      <c r="M18" s="9" t="n"/>
      <c r="N18" s="22" t="inlineStr">
        <is>
          <t>X</t>
        </is>
      </c>
      <c r="O18" s="9" t="n"/>
      <c r="P18" s="9" t="n"/>
      <c r="Q18" s="9" t="n"/>
      <c r="R18" s="23" t="inlineStr">
        <is>
          <t>X</t>
        </is>
      </c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21" t="inlineStr">
        <is>
          <t>X</t>
        </is>
      </c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21" t="inlineStr">
        <is>
          <t>X</t>
        </is>
      </c>
      <c r="BQ18" s="9" t="n"/>
      <c r="BR18" s="9" t="n"/>
      <c r="BS18" s="9" t="n"/>
      <c r="BT18" s="9" t="n"/>
      <c r="BU18" s="9" t="n"/>
      <c r="BV18" s="9" t="n"/>
    </row>
    <row r="19" ht="18" customHeight="1">
      <c r="C19" s="17" t="inlineStr">
        <is>
          <t>MAT 211</t>
        </is>
      </c>
      <c r="D19" s="18" t="inlineStr">
        <is>
          <t>Cálculo Integral y Series</t>
        </is>
      </c>
      <c r="E19" s="19" t="n">
        <v>6</v>
      </c>
      <c r="F19" s="17">
        <f>SUM(G19:I19)</f>
        <v/>
      </c>
      <c r="G19" s="20">
        <f>COUNTIF(J19:P19,"X")</f>
        <v/>
      </c>
      <c r="H19" s="20">
        <f>COUNTIF(Q19:AR19,"X")</f>
        <v/>
      </c>
      <c r="I19" s="20">
        <f>COUNTIF(AS19:BV19,"X")</f>
        <v/>
      </c>
      <c r="J19" s="22" t="inlineStr">
        <is>
          <t>X</t>
        </is>
      </c>
      <c r="K19" s="22" t="inlineStr">
        <is>
          <t>X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21" t="inlineStr">
        <is>
          <t>X</t>
        </is>
      </c>
      <c r="BP19" s="9" t="n"/>
      <c r="BQ19" s="9" t="n"/>
      <c r="BR19" s="9" t="n"/>
      <c r="BS19" s="9" t="n"/>
      <c r="BT19" s="9" t="n"/>
      <c r="BU19" s="9" t="n"/>
      <c r="BV19" s="9" t="n"/>
    </row>
    <row r="20" ht="18" customHeight="1">
      <c r="C20" s="17" t="inlineStr">
        <is>
          <t>MAT 212</t>
        </is>
      </c>
      <c r="D20" s="18" t="inlineStr">
        <is>
          <t>Álgebra Lineal</t>
        </is>
      </c>
      <c r="E20" s="19" t="n">
        <v>6</v>
      </c>
      <c r="F20" s="17">
        <f>SUM(G20:I20)</f>
        <v/>
      </c>
      <c r="G20" s="20">
        <f>COUNTIF(J20:P20,"X")</f>
        <v/>
      </c>
      <c r="H20" s="20">
        <f>COUNTIF(Q20:AR20,"X")</f>
        <v/>
      </c>
      <c r="I20" s="20">
        <f>COUNTIF(AS20:BV20,"X")</f>
        <v/>
      </c>
      <c r="J20" s="22" t="inlineStr">
        <is>
          <t>X</t>
        </is>
      </c>
      <c r="K20" s="22" t="inlineStr">
        <is>
          <t>X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21" t="inlineStr">
        <is>
          <t>X</t>
        </is>
      </c>
      <c r="BP20" s="9" t="n"/>
      <c r="BQ20" s="9" t="n"/>
      <c r="BR20" s="9" t="n"/>
      <c r="BS20" s="9" t="n"/>
      <c r="BT20" s="9" t="n"/>
      <c r="BU20" s="9" t="n"/>
      <c r="BV20" s="9" t="n"/>
    </row>
    <row r="21" ht="18" customHeight="1">
      <c r="A21" s="15" t="inlineStr">
        <is>
          <t>N1</t>
        </is>
      </c>
      <c r="B21" s="16" t="n">
        <v>4</v>
      </c>
      <c r="C21" s="17" t="inlineStr">
        <is>
          <t>FIS 221</t>
        </is>
      </c>
      <c r="D21" s="18" t="inlineStr">
        <is>
          <t>Física Calor y Ondas</t>
        </is>
      </c>
      <c r="E21" s="19" t="n">
        <v>6</v>
      </c>
      <c r="F21" s="17">
        <f>SUM(G21:I21)</f>
        <v/>
      </c>
      <c r="G21" s="20">
        <f>COUNTIF(J21:P21,"X")</f>
        <v/>
      </c>
      <c r="H21" s="20">
        <f>COUNTIF(Q21:AR21,"X")</f>
        <v/>
      </c>
      <c r="I21" s="20">
        <f>COUNTIF(AS21:BV21,"X")</f>
        <v/>
      </c>
      <c r="J21" s="22" t="inlineStr">
        <is>
          <t>X</t>
        </is>
      </c>
      <c r="K21" s="22" t="inlineStr">
        <is>
          <t>X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21" t="inlineStr">
        <is>
          <t>X</t>
        </is>
      </c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21" t="inlineStr">
        <is>
          <t>X</t>
        </is>
      </c>
      <c r="BP21" s="9" t="n"/>
      <c r="BQ21" s="9" t="n"/>
      <c r="BR21" s="9" t="n"/>
      <c r="BS21" s="9" t="n"/>
      <c r="BT21" s="9" t="n"/>
      <c r="BU21" s="9" t="n"/>
      <c r="BV21" s="9" t="n"/>
    </row>
    <row r="22" ht="18" customHeight="1">
      <c r="C22" s="17" t="inlineStr">
        <is>
          <t>IMAT 212</t>
        </is>
      </c>
      <c r="D22" s="18" t="inlineStr">
        <is>
          <t>Economía</t>
        </is>
      </c>
      <c r="E22" s="19" t="n">
        <v>4</v>
      </c>
      <c r="F22" s="17">
        <f>SUM(G22:I22)</f>
        <v/>
      </c>
      <c r="G22" s="20">
        <f>COUNTIF(J22:P22,"X")</f>
        <v/>
      </c>
      <c r="H22" s="20">
        <f>COUNTIF(Q22:AR22,"X")</f>
        <v/>
      </c>
      <c r="I22" s="20">
        <f>COUNTIF(AS22:BV22,"X")</f>
        <v/>
      </c>
      <c r="J22" s="9" t="n"/>
      <c r="K22" s="22" t="inlineStr">
        <is>
          <t>X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21" t="inlineStr">
        <is>
          <t>X</t>
        </is>
      </c>
      <c r="AZ22" s="9" t="n"/>
      <c r="BA22" s="9" t="n"/>
      <c r="BB22" s="9" t="n"/>
      <c r="BC22" s="9" t="n"/>
      <c r="BD22" s="9" t="n"/>
      <c r="BE22" s="9" t="n"/>
      <c r="BF22" s="9" t="n"/>
      <c r="BG22" s="21" t="inlineStr">
        <is>
          <t>X</t>
        </is>
      </c>
      <c r="BH22" s="9" t="n"/>
      <c r="BI22" s="21" t="inlineStr">
        <is>
          <t>X</t>
        </is>
      </c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</row>
    <row r="23" ht="18" customHeight="1">
      <c r="C23" s="17" t="inlineStr">
        <is>
          <t>IMAT 223</t>
        </is>
      </c>
      <c r="D23" s="18" t="inlineStr">
        <is>
          <t>Idioma I</t>
        </is>
      </c>
      <c r="E23" s="19" t="n">
        <v>2</v>
      </c>
      <c r="F23" s="17">
        <f>SUM(G23:I23)</f>
        <v/>
      </c>
      <c r="G23" s="20">
        <f>COUNTIF(J23:P23,"X")</f>
        <v/>
      </c>
      <c r="H23" s="20">
        <f>COUNTIF(Q23:AR23,"X")</f>
        <v/>
      </c>
      <c r="I23" s="20">
        <f>COUNTIF(AS23:BV23,"X")</f>
        <v/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</row>
    <row r="24" ht="18" customHeight="1">
      <c r="C24" s="17" t="inlineStr">
        <is>
          <t>IMAT 314</t>
        </is>
      </c>
      <c r="D24" s="18" t="inlineStr">
        <is>
          <t>Estructuras Algebraicas</t>
        </is>
      </c>
      <c r="E24" s="19" t="n">
        <v>6</v>
      </c>
      <c r="F24" s="17">
        <f>SUM(G24:I24)</f>
        <v/>
      </c>
      <c r="G24" s="20">
        <f>COUNTIF(J24:P24,"X")</f>
        <v/>
      </c>
      <c r="H24" s="20">
        <f>COUNTIF(Q24:AR24,"X")</f>
        <v/>
      </c>
      <c r="I24" s="20">
        <f>COUNTIF(AS24:BV24,"X")</f>
        <v/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23" t="inlineStr">
        <is>
          <t>X</t>
        </is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21" t="inlineStr">
        <is>
          <t>X</t>
        </is>
      </c>
      <c r="AU24" s="9" t="n"/>
      <c r="AV24" s="9" t="n"/>
      <c r="AW24" s="9" t="n"/>
      <c r="AX24" s="9" t="n"/>
      <c r="AY24" s="9" t="n"/>
      <c r="AZ24" s="9" t="n"/>
      <c r="BA24" s="21" t="inlineStr">
        <is>
          <t>X</t>
        </is>
      </c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</row>
    <row r="25" ht="18" customHeight="1">
      <c r="C25" s="17" t="inlineStr">
        <is>
          <t>MAT 221</t>
        </is>
      </c>
      <c r="D25" s="18" t="inlineStr">
        <is>
          <t>Cálculo en Varias Variables</t>
        </is>
      </c>
      <c r="E25" s="19" t="n">
        <v>6</v>
      </c>
      <c r="F25" s="17">
        <f>SUM(G25:I25)</f>
        <v/>
      </c>
      <c r="G25" s="20">
        <f>COUNTIF(J25:P25,"X")</f>
        <v/>
      </c>
      <c r="H25" s="20">
        <f>COUNTIF(Q25:AR25,"X")</f>
        <v/>
      </c>
      <c r="I25" s="20">
        <f>COUNTIF(AS25:BV25,"X")</f>
        <v/>
      </c>
      <c r="J25" s="22" t="inlineStr">
        <is>
          <t>X</t>
        </is>
      </c>
      <c r="K25" s="22" t="inlineStr">
        <is>
          <t>X</t>
        </is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21" t="inlineStr">
        <is>
          <t>X</t>
        </is>
      </c>
      <c r="BP25" s="9" t="n"/>
      <c r="BQ25" s="9" t="n"/>
      <c r="BR25" s="9" t="n"/>
      <c r="BS25" s="9" t="n"/>
      <c r="BT25" s="9" t="n"/>
      <c r="BU25" s="9" t="n"/>
      <c r="BV25" s="9" t="n"/>
    </row>
    <row r="26" ht="18" customHeight="1">
      <c r="C26" s="17" t="inlineStr">
        <is>
          <t>MAT 222</t>
        </is>
      </c>
      <c r="D26" s="18" t="inlineStr">
        <is>
          <t>Ecuaciones Diferenciales Ordinarias</t>
        </is>
      </c>
      <c r="E26" s="19" t="n">
        <v>6</v>
      </c>
      <c r="F26" s="17">
        <f>SUM(G26:I26)</f>
        <v/>
      </c>
      <c r="G26" s="20">
        <f>COUNTIF(J26:P26,"X")</f>
        <v/>
      </c>
      <c r="H26" s="20">
        <f>COUNTIF(Q26:AR26,"X")</f>
        <v/>
      </c>
      <c r="I26" s="20">
        <f>COUNTIF(AS26:BV26,"X")</f>
        <v/>
      </c>
      <c r="J26" s="22" t="inlineStr">
        <is>
          <t>X</t>
        </is>
      </c>
      <c r="K26" s="22" t="inlineStr">
        <is>
          <t>X</t>
        </is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21" t="inlineStr">
        <is>
          <t>X</t>
        </is>
      </c>
      <c r="BP26" s="9" t="n"/>
      <c r="BQ26" s="9" t="n"/>
      <c r="BR26" s="9" t="n"/>
      <c r="BS26" s="9" t="n"/>
      <c r="BT26" s="9" t="n"/>
      <c r="BU26" s="9" t="n"/>
      <c r="BV26" s="9" t="n"/>
    </row>
    <row r="27" ht="18" customHeight="1">
      <c r="A27" s="15" t="inlineStr">
        <is>
          <t>N2</t>
        </is>
      </c>
      <c r="B27" s="16" t="n">
        <v>5</v>
      </c>
      <c r="C27" s="17" t="inlineStr">
        <is>
          <t>FIS 311</t>
        </is>
      </c>
      <c r="D27" s="18" t="inlineStr">
        <is>
          <t>Física Electromagnetismo</t>
        </is>
      </c>
      <c r="E27" s="19" t="n">
        <v>6</v>
      </c>
      <c r="F27" s="17">
        <f>SUM(G27:I27)</f>
        <v/>
      </c>
      <c r="G27" s="20">
        <f>COUNTIF(J27:P27,"X")</f>
        <v/>
      </c>
      <c r="H27" s="20">
        <f>COUNTIF(Q27:AR27,"X")</f>
        <v/>
      </c>
      <c r="I27" s="20">
        <f>COUNTIF(AS27:BV27,"X")</f>
        <v/>
      </c>
      <c r="J27" s="9" t="n"/>
      <c r="K27" s="9" t="n"/>
      <c r="L27" s="22" t="inlineStr">
        <is>
          <t>X</t>
        </is>
      </c>
      <c r="M27" s="22" t="inlineStr">
        <is>
          <t>X</t>
        </is>
      </c>
      <c r="N27" s="9" t="n"/>
      <c r="O27" s="22" t="inlineStr">
        <is>
          <t>X</t>
        </is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21" t="inlineStr">
        <is>
          <t>X</t>
        </is>
      </c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</row>
    <row r="28" ht="18" customHeight="1">
      <c r="C28" s="17" t="inlineStr">
        <is>
          <t>IMAT 222</t>
        </is>
      </c>
      <c r="D28" s="18" t="inlineStr">
        <is>
          <t>Evaluación de Proyectos</t>
        </is>
      </c>
      <c r="E28" s="19" t="n">
        <v>4</v>
      </c>
      <c r="F28" s="17">
        <f>SUM(G28:I28)</f>
        <v/>
      </c>
      <c r="G28" s="20">
        <f>COUNTIF(J28:P28,"X")</f>
        <v/>
      </c>
      <c r="H28" s="20">
        <f>COUNTIF(Q28:AR28,"X")</f>
        <v/>
      </c>
      <c r="I28" s="20">
        <f>COUNTIF(AS28:BV28,"X")</f>
        <v/>
      </c>
      <c r="J28" s="9" t="n"/>
      <c r="K28" s="9" t="n"/>
      <c r="L28" s="9" t="n"/>
      <c r="M28" s="22" t="inlineStr">
        <is>
          <t>X</t>
        </is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21" t="inlineStr">
        <is>
          <t>X</t>
        </is>
      </c>
      <c r="BL28" s="9" t="n"/>
      <c r="BM28" s="9" t="n"/>
      <c r="BN28" s="9" t="n"/>
      <c r="BO28" s="9" t="n"/>
      <c r="BP28" s="9" t="n"/>
      <c r="BQ28" s="9" t="n"/>
      <c r="BR28" s="21" t="inlineStr">
        <is>
          <t>X</t>
        </is>
      </c>
      <c r="BS28" s="9" t="n"/>
      <c r="BT28" s="9" t="n"/>
      <c r="BU28" s="9" t="n"/>
      <c r="BV28" s="9" t="n"/>
    </row>
    <row r="29" ht="18" customHeight="1">
      <c r="C29" s="17" t="inlineStr">
        <is>
          <t>IMAT 311</t>
        </is>
      </c>
      <c r="D29" s="18" t="inlineStr">
        <is>
          <t>Cálculo Avanzado</t>
        </is>
      </c>
      <c r="E29" s="19" t="n">
        <v>6</v>
      </c>
      <c r="F29" s="17">
        <f>SUM(G29:I29)</f>
        <v/>
      </c>
      <c r="G29" s="20">
        <f>COUNTIF(J29:P29,"X")</f>
        <v/>
      </c>
      <c r="H29" s="20">
        <f>COUNTIF(Q29:AR29,"X")</f>
        <v/>
      </c>
      <c r="I29" s="20">
        <f>COUNTIF(AS29:BV29,"X")</f>
        <v/>
      </c>
      <c r="J29" s="9" t="n"/>
      <c r="K29" s="9" t="n"/>
      <c r="L29" s="9" t="n"/>
      <c r="M29" s="9" t="n"/>
      <c r="N29" s="9" t="n"/>
      <c r="O29" s="22" t="inlineStr">
        <is>
          <t>X</t>
        </is>
      </c>
      <c r="P29" s="9" t="n"/>
      <c r="Q29" s="9" t="n"/>
      <c r="R29" s="9" t="n"/>
      <c r="S29" s="9" t="n"/>
      <c r="T29" s="9" t="n"/>
      <c r="U29" s="9" t="n"/>
      <c r="V29" s="9" t="n"/>
      <c r="W29" s="9" t="n"/>
      <c r="X29" s="23" t="inlineStr">
        <is>
          <t>X</t>
        </is>
      </c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21" t="inlineStr">
        <is>
          <t>X</t>
        </is>
      </c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</row>
    <row r="30" ht="18" customHeight="1">
      <c r="C30" s="17" t="inlineStr">
        <is>
          <t>IMAT 312</t>
        </is>
      </c>
      <c r="D30" s="18" t="inlineStr">
        <is>
          <t>Métodos Numéricos</t>
        </is>
      </c>
      <c r="E30" s="19" t="n">
        <v>5</v>
      </c>
      <c r="F30" s="17">
        <f>SUM(G30:I30)</f>
        <v/>
      </c>
      <c r="G30" s="20">
        <f>COUNTIF(J30:P30,"X")</f>
        <v/>
      </c>
      <c r="H30" s="20">
        <f>COUNTIF(Q30:AR30,"X")</f>
        <v/>
      </c>
      <c r="I30" s="20">
        <f>COUNTIF(AS30:BV30,"X")</f>
        <v/>
      </c>
      <c r="J30" s="9" t="n"/>
      <c r="K30" s="9" t="n"/>
      <c r="L30" s="22" t="inlineStr">
        <is>
          <t>X</t>
        </is>
      </c>
      <c r="M30" s="22" t="inlineStr">
        <is>
          <t>X</t>
        </is>
      </c>
      <c r="N30" s="9" t="n"/>
      <c r="O30" s="22" t="inlineStr">
        <is>
          <t>X</t>
        </is>
      </c>
      <c r="P30" s="22" t="inlineStr">
        <is>
          <t>X</t>
        </is>
      </c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3" t="inlineStr">
        <is>
          <t>X</t>
        </is>
      </c>
      <c r="AK30" s="23" t="inlineStr">
        <is>
          <t>X</t>
        </is>
      </c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21" t="inlineStr">
        <is>
          <t>X</t>
        </is>
      </c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</row>
    <row r="31" ht="18" customHeight="1">
      <c r="C31" s="17" t="inlineStr">
        <is>
          <t>IMAT 321</t>
        </is>
      </c>
      <c r="D31" s="18" t="inlineStr">
        <is>
          <t>Análisis</t>
        </is>
      </c>
      <c r="E31" s="19" t="n">
        <v>8</v>
      </c>
      <c r="F31" s="17">
        <f>SUM(G31:I31)</f>
        <v/>
      </c>
      <c r="G31" s="20">
        <f>COUNTIF(J31:P31,"X")</f>
        <v/>
      </c>
      <c r="H31" s="20">
        <f>COUNTIF(Q31:AR31,"X")</f>
        <v/>
      </c>
      <c r="I31" s="20">
        <f>COUNTIF(AS31:BV31,"X")</f>
        <v/>
      </c>
      <c r="J31" s="9" t="n"/>
      <c r="K31" s="9" t="n"/>
      <c r="L31" s="9" t="n"/>
      <c r="M31" s="9" t="n"/>
      <c r="N31" s="9" t="n"/>
      <c r="O31" s="22" t="inlineStr">
        <is>
          <t>X</t>
        </is>
      </c>
      <c r="P31" s="22" t="inlineStr">
        <is>
          <t>X</t>
        </is>
      </c>
      <c r="Q31" s="9" t="n"/>
      <c r="R31" s="9" t="n"/>
      <c r="S31" s="9" t="n"/>
      <c r="T31" s="9" t="n"/>
      <c r="U31" s="23" t="inlineStr">
        <is>
          <t>X</t>
        </is>
      </c>
      <c r="V31" s="9" t="n"/>
      <c r="W31" s="9" t="n"/>
      <c r="X31" s="23" t="inlineStr">
        <is>
          <t>X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21" t="inlineStr">
        <is>
          <t>X</t>
        </is>
      </c>
      <c r="AV31" s="21" t="inlineStr">
        <is>
          <t>X</t>
        </is>
      </c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21" t="inlineStr">
        <is>
          <t>X</t>
        </is>
      </c>
      <c r="BS31" s="21" t="inlineStr">
        <is>
          <t>X</t>
        </is>
      </c>
      <c r="BT31" s="9" t="n"/>
      <c r="BU31" s="9" t="n"/>
      <c r="BV31" s="9" t="n"/>
    </row>
    <row r="32" ht="18" customHeight="1">
      <c r="C32" s="17" t="inlineStr">
        <is>
          <t>IMAT 324</t>
        </is>
      </c>
      <c r="D32" s="18" t="inlineStr">
        <is>
          <t>TIPE I</t>
        </is>
      </c>
      <c r="E32" s="19" t="n">
        <v>3</v>
      </c>
      <c r="F32" s="17">
        <f>SUM(G32:I32)</f>
        <v/>
      </c>
      <c r="G32" s="20">
        <f>COUNTIF(J32:P32,"X")</f>
        <v/>
      </c>
      <c r="H32" s="20">
        <f>COUNTIF(Q32:AR32,"X")</f>
        <v/>
      </c>
      <c r="I32" s="20">
        <f>COUNTIF(AS32:BV32,"X")</f>
        <v/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21" t="inlineStr">
        <is>
          <t>X</t>
        </is>
      </c>
      <c r="AV32" s="9" t="n"/>
      <c r="AW32" s="9" t="n"/>
      <c r="AX32" s="9" t="n"/>
      <c r="AY32" s="9" t="n"/>
      <c r="AZ32" s="9" t="n"/>
      <c r="BA32" s="9" t="n"/>
      <c r="BB32" s="21" t="inlineStr">
        <is>
          <t>X</t>
        </is>
      </c>
      <c r="BC32" s="21" t="inlineStr">
        <is>
          <t>X</t>
        </is>
      </c>
      <c r="BD32" s="21" t="inlineStr">
        <is>
          <t>X</t>
        </is>
      </c>
      <c r="BE32" s="9" t="n"/>
      <c r="BF32" s="9" t="n"/>
      <c r="BG32" s="9" t="n"/>
      <c r="BH32" s="9" t="n"/>
      <c r="BI32" s="9" t="n"/>
      <c r="BJ32" s="21" t="inlineStr">
        <is>
          <t>X</t>
        </is>
      </c>
      <c r="BK32" s="21" t="inlineStr">
        <is>
          <t>X</t>
        </is>
      </c>
      <c r="BL32" s="21" t="inlineStr">
        <is>
          <t>X</t>
        </is>
      </c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</row>
    <row r="33" ht="18" customHeight="1">
      <c r="A33" s="15" t="inlineStr">
        <is>
          <t>N2</t>
        </is>
      </c>
      <c r="B33" s="16" t="n">
        <v>6</v>
      </c>
      <c r="C33" s="17" t="inlineStr">
        <is>
          <t>IMAT 313</t>
        </is>
      </c>
      <c r="D33" s="18" t="inlineStr">
        <is>
          <t>Combinatoria y Algoritmos</t>
        </is>
      </c>
      <c r="E33" s="19" t="n">
        <v>6</v>
      </c>
      <c r="F33" s="17">
        <f>SUM(G33:I33)</f>
        <v/>
      </c>
      <c r="G33" s="20">
        <f>COUNTIF(J33:P33,"X")</f>
        <v/>
      </c>
      <c r="H33" s="20">
        <f>COUNTIF(Q33:AR33,"X")</f>
        <v/>
      </c>
      <c r="I33" s="20">
        <f>COUNTIF(AS33:BV33,"X")</f>
        <v/>
      </c>
      <c r="J33" s="9" t="n"/>
      <c r="K33" s="9" t="n"/>
      <c r="L33" s="9" t="n"/>
      <c r="M33" s="9" t="n"/>
      <c r="N33" s="9" t="n"/>
      <c r="O33" s="9" t="n"/>
      <c r="P33" s="22" t="inlineStr">
        <is>
          <t>X</t>
        </is>
      </c>
      <c r="Q33" s="9" t="n"/>
      <c r="R33" s="23" t="inlineStr">
        <is>
          <t>X</t>
        </is>
      </c>
      <c r="S33" s="9" t="n"/>
      <c r="T33" s="23" t="inlineStr">
        <is>
          <t>X</t>
        </is>
      </c>
      <c r="U33" s="9" t="n"/>
      <c r="V33" s="9" t="n"/>
      <c r="W33" s="9" t="n"/>
      <c r="X33" s="9" t="n"/>
      <c r="Y33" s="23" t="inlineStr">
        <is>
          <t>X</t>
        </is>
      </c>
      <c r="Z33" s="9" t="n"/>
      <c r="AA33" s="9" t="n"/>
      <c r="AB33" s="9" t="n"/>
      <c r="AC33" s="9" t="n"/>
      <c r="AD33" s="9" t="n"/>
      <c r="AE33" s="9" t="n"/>
      <c r="AF33" s="23" t="inlineStr">
        <is>
          <t>X</t>
        </is>
      </c>
      <c r="AG33" s="9" t="n"/>
      <c r="AH33" s="23" t="inlineStr">
        <is>
          <t>X</t>
        </is>
      </c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21" t="inlineStr">
        <is>
          <t>X</t>
        </is>
      </c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21" t="inlineStr">
        <is>
          <t>X</t>
        </is>
      </c>
      <c r="BP33" s="9" t="n"/>
      <c r="BQ33" s="9" t="n"/>
      <c r="BR33" s="9" t="n"/>
      <c r="BS33" s="9" t="n"/>
      <c r="BT33" s="9" t="n"/>
      <c r="BU33" s="9" t="n"/>
      <c r="BV33" s="9" t="n"/>
    </row>
    <row r="34" ht="18" customHeight="1">
      <c r="C34" s="17" t="inlineStr">
        <is>
          <t>IMAT 315</t>
        </is>
      </c>
      <c r="D34" s="18" t="inlineStr">
        <is>
          <t>Idioma II</t>
        </is>
      </c>
      <c r="E34" s="19" t="n">
        <v>2</v>
      </c>
      <c r="F34" s="17">
        <f>SUM(G34:I34)</f>
        <v/>
      </c>
      <c r="G34" s="20">
        <f>COUNTIF(J34:P34,"X")</f>
        <v/>
      </c>
      <c r="H34" s="20">
        <f>COUNTIF(Q34:AR34,"X")</f>
        <v/>
      </c>
      <c r="I34" s="20">
        <f>COUNTIF(AS34:BV34,"X")</f>
        <v/>
      </c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21" t="inlineStr">
        <is>
          <t>X</t>
        </is>
      </c>
      <c r="BS34" s="21" t="inlineStr">
        <is>
          <t>X</t>
        </is>
      </c>
      <c r="BT34" s="9" t="n"/>
      <c r="BU34" s="9" t="n"/>
      <c r="BV34" s="9" t="n"/>
    </row>
    <row r="35" ht="18" customHeight="1">
      <c r="C35" s="17" t="inlineStr">
        <is>
          <t>IMAT 322</t>
        </is>
      </c>
      <c r="D35" s="18" t="inlineStr">
        <is>
          <t>Cálculo de Probabilidades</t>
        </is>
      </c>
      <c r="E35" s="19" t="n">
        <v>7</v>
      </c>
      <c r="F35" s="17">
        <f>SUM(G35:I35)</f>
        <v/>
      </c>
      <c r="G35" s="20">
        <f>COUNTIF(J35:P35,"X")</f>
        <v/>
      </c>
      <c r="H35" s="20">
        <f>COUNTIF(Q35:AR35,"X")</f>
        <v/>
      </c>
      <c r="I35" s="20">
        <f>COUNTIF(AS35:BV35,"X")</f>
        <v/>
      </c>
      <c r="J35" s="9" t="n"/>
      <c r="K35" s="9" t="n"/>
      <c r="L35" s="22" t="inlineStr">
        <is>
          <t>X</t>
        </is>
      </c>
      <c r="M35" s="9" t="n"/>
      <c r="N35" s="9" t="n"/>
      <c r="O35" s="9" t="n"/>
      <c r="P35" s="9" t="n"/>
      <c r="Q35" s="9" t="n"/>
      <c r="R35" s="9" t="n"/>
      <c r="S35" s="9" t="n"/>
      <c r="T35" s="9" t="n"/>
      <c r="U35" s="23" t="inlineStr">
        <is>
          <t>X</t>
        </is>
      </c>
      <c r="V35" s="9" t="n"/>
      <c r="W35" s="9" t="n"/>
      <c r="X35" s="9" t="n"/>
      <c r="Y35" s="9" t="n"/>
      <c r="Z35" s="23" t="inlineStr">
        <is>
          <t>X</t>
        </is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23" t="inlineStr">
        <is>
          <t>X</t>
        </is>
      </c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21" t="inlineStr">
        <is>
          <t>X</t>
        </is>
      </c>
      <c r="AV35" s="9" t="n"/>
      <c r="AW35" s="9" t="n"/>
      <c r="AX35" s="9" t="n"/>
      <c r="AY35" s="9" t="n"/>
      <c r="AZ35" s="9" t="n"/>
      <c r="BA35" s="9" t="n"/>
      <c r="BB35" s="21" t="inlineStr">
        <is>
          <t>X</t>
        </is>
      </c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21" t="inlineStr">
        <is>
          <t>X</t>
        </is>
      </c>
      <c r="BS35" s="9" t="n"/>
      <c r="BT35" s="9" t="n"/>
      <c r="BU35" s="9" t="n"/>
      <c r="BV35" s="9" t="n"/>
    </row>
    <row r="36" ht="18" customHeight="1">
      <c r="C36" s="17" t="inlineStr">
        <is>
          <t>IMAT 411</t>
        </is>
      </c>
      <c r="D36" s="18" t="inlineStr">
        <is>
          <t>Teoría de la Medida</t>
        </is>
      </c>
      <c r="E36" s="19" t="n">
        <v>7</v>
      </c>
      <c r="F36" s="17">
        <f>SUM(G36:I36)</f>
        <v/>
      </c>
      <c r="G36" s="20">
        <f>COUNTIF(J36:P36,"X")</f>
        <v/>
      </c>
      <c r="H36" s="20">
        <f>COUNTIF(Q36:AR36,"X")</f>
        <v/>
      </c>
      <c r="I36" s="20">
        <f>COUNTIF(AS36:BV36,"X")</f>
        <v/>
      </c>
      <c r="J36" s="9" t="n"/>
      <c r="K36" s="9" t="n"/>
      <c r="L36" s="9" t="n"/>
      <c r="M36" s="9" t="n"/>
      <c r="N36" s="9" t="n"/>
      <c r="O36" s="22" t="inlineStr">
        <is>
          <t>X</t>
        </is>
      </c>
      <c r="P36" s="22" t="inlineStr">
        <is>
          <t>X</t>
        </is>
      </c>
      <c r="Q36" s="9" t="n"/>
      <c r="R36" s="9" t="n"/>
      <c r="S36" s="9" t="n"/>
      <c r="T36" s="9" t="n"/>
      <c r="U36" s="23" t="inlineStr">
        <is>
          <t>X</t>
        </is>
      </c>
      <c r="V36" s="9" t="n"/>
      <c r="W36" s="9" t="n"/>
      <c r="X36" s="23" t="inlineStr">
        <is>
          <t>X</t>
        </is>
      </c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21" t="inlineStr">
        <is>
          <t>X</t>
        </is>
      </c>
      <c r="AV36" s="21" t="inlineStr">
        <is>
          <t>X</t>
        </is>
      </c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21" t="inlineStr">
        <is>
          <t>X</t>
        </is>
      </c>
      <c r="BS36" s="21" t="inlineStr">
        <is>
          <t>X</t>
        </is>
      </c>
      <c r="BT36" s="9" t="n"/>
      <c r="BU36" s="9" t="n"/>
      <c r="BV36" s="9" t="n"/>
    </row>
    <row r="37" ht="18" customHeight="1">
      <c r="C37" s="17" t="inlineStr">
        <is>
          <t>IMAT 423</t>
        </is>
      </c>
      <c r="D37" s="18" t="inlineStr">
        <is>
          <t>Sistemas Dinámicos Continuos</t>
        </is>
      </c>
      <c r="E37" s="19" t="n">
        <v>6</v>
      </c>
      <c r="F37" s="17">
        <f>SUM(G37:I37)</f>
        <v/>
      </c>
      <c r="G37" s="20">
        <f>COUNTIF(J37:P37,"X")</f>
        <v/>
      </c>
      <c r="H37" s="20">
        <f>COUNTIF(Q37:AR37,"X")</f>
        <v/>
      </c>
      <c r="I37" s="20">
        <f>COUNTIF(AS37:BV37,"X")</f>
        <v/>
      </c>
      <c r="J37" s="9" t="n"/>
      <c r="K37" s="9" t="n"/>
      <c r="L37" s="22" t="inlineStr">
        <is>
          <t>X</t>
        </is>
      </c>
      <c r="M37" s="9" t="n"/>
      <c r="N37" s="9" t="n"/>
      <c r="O37" s="9" t="n"/>
      <c r="P37" s="9" t="n"/>
      <c r="Q37" s="9" t="n"/>
      <c r="R37" s="9" t="n"/>
      <c r="S37" s="9" t="n"/>
      <c r="T37" s="9" t="n"/>
      <c r="U37" s="23" t="inlineStr">
        <is>
          <t>X</t>
        </is>
      </c>
      <c r="V37" s="23" t="inlineStr">
        <is>
          <t>X</t>
        </is>
      </c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21" t="inlineStr">
        <is>
          <t>X</t>
        </is>
      </c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21" t="inlineStr">
        <is>
          <t>X</t>
        </is>
      </c>
      <c r="BS37" s="9" t="n"/>
      <c r="BT37" s="9" t="n"/>
      <c r="BU37" s="9" t="n"/>
      <c r="BV37" s="9" t="n"/>
    </row>
    <row r="38" ht="18" customHeight="1">
      <c r="A38" s="15" t="inlineStr">
        <is>
          <t>N2</t>
        </is>
      </c>
      <c r="B38" s="16" t="n">
        <v>7</v>
      </c>
      <c r="C38" s="17" t="inlineStr">
        <is>
          <t>IMAT 323</t>
        </is>
      </c>
      <c r="D38" s="18" t="inlineStr">
        <is>
          <t>Optimización</t>
        </is>
      </c>
      <c r="E38" s="19" t="n">
        <v>8</v>
      </c>
      <c r="F38" s="17">
        <f>SUM(G38:I38)</f>
        <v/>
      </c>
      <c r="G38" s="20">
        <f>COUNTIF(J38:P38,"X")</f>
        <v/>
      </c>
      <c r="H38" s="20">
        <f>COUNTIF(Q38:AR38,"X")</f>
        <v/>
      </c>
      <c r="I38" s="20">
        <f>COUNTIF(AS38:BV38,"X")</f>
        <v/>
      </c>
      <c r="J38" s="22" t="inlineStr">
        <is>
          <t>X</t>
        </is>
      </c>
      <c r="K38" s="22" t="inlineStr">
        <is>
          <t>X</t>
        </is>
      </c>
      <c r="L38" s="22" t="inlineStr">
        <is>
          <t>X</t>
        </is>
      </c>
      <c r="M38" s="9" t="n"/>
      <c r="N38" s="9" t="n"/>
      <c r="O38" s="9" t="n"/>
      <c r="P38" s="22" t="inlineStr">
        <is>
          <t>X</t>
        </is>
      </c>
      <c r="Q38" s="9" t="n"/>
      <c r="R38" s="9" t="n"/>
      <c r="S38" s="9" t="n"/>
      <c r="T38" s="9" t="n"/>
      <c r="U38" s="23" t="inlineStr">
        <is>
          <t>X</t>
        </is>
      </c>
      <c r="V38" s="9" t="n"/>
      <c r="W38" s="23" t="inlineStr">
        <is>
          <t>X</t>
        </is>
      </c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23" t="inlineStr">
        <is>
          <t>X</t>
        </is>
      </c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21" t="inlineStr">
        <is>
          <t>X</t>
        </is>
      </c>
      <c r="BP38" s="21" t="inlineStr">
        <is>
          <t>X</t>
        </is>
      </c>
      <c r="BQ38" s="9" t="n"/>
      <c r="BR38" s="9" t="n"/>
      <c r="BS38" s="9" t="n"/>
      <c r="BT38" s="9" t="n"/>
      <c r="BU38" s="9" t="n"/>
      <c r="BV38" s="9" t="n"/>
    </row>
    <row r="39" ht="18" customHeight="1">
      <c r="C39" s="17" t="inlineStr">
        <is>
          <t>IMAT 412</t>
        </is>
      </c>
      <c r="D39" s="18" t="inlineStr">
        <is>
          <t>Inferencia Estadística</t>
        </is>
      </c>
      <c r="E39" s="19" t="n">
        <v>8</v>
      </c>
      <c r="F39" s="17">
        <f>SUM(G39:I39)</f>
        <v/>
      </c>
      <c r="G39" s="20">
        <f>COUNTIF(J39:P39,"X")</f>
        <v/>
      </c>
      <c r="H39" s="20">
        <f>COUNTIF(Q39:AR39,"X")</f>
        <v/>
      </c>
      <c r="I39" s="20">
        <f>COUNTIF(AS39:BV39,"X")</f>
        <v/>
      </c>
      <c r="J39" s="9" t="n"/>
      <c r="K39" s="9" t="n"/>
      <c r="L39" s="9" t="n"/>
      <c r="M39" s="22" t="inlineStr">
        <is>
          <t>X</t>
        </is>
      </c>
      <c r="N39" s="9" t="n"/>
      <c r="O39" s="9" t="n"/>
      <c r="P39" s="9" t="n"/>
      <c r="Q39" s="9" t="n"/>
      <c r="R39" s="9" t="n"/>
      <c r="S39" s="9" t="n"/>
      <c r="T39" s="9" t="n"/>
      <c r="U39" s="23" t="inlineStr">
        <is>
          <t>X</t>
        </is>
      </c>
      <c r="V39" s="9" t="n"/>
      <c r="W39" s="9" t="n"/>
      <c r="X39" s="9" t="n"/>
      <c r="Y39" s="9" t="n"/>
      <c r="Z39" s="23" t="inlineStr">
        <is>
          <t>X</t>
        </is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21" t="inlineStr">
        <is>
          <t>X</t>
        </is>
      </c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21" t="inlineStr">
        <is>
          <t>X</t>
        </is>
      </c>
      <c r="BS39" s="9" t="n"/>
      <c r="BT39" s="9" t="n"/>
      <c r="BU39" s="9" t="n"/>
      <c r="BV39" s="21" t="inlineStr">
        <is>
          <t>X</t>
        </is>
      </c>
    </row>
    <row r="40" ht="18" customHeight="1">
      <c r="C40" s="17" t="inlineStr">
        <is>
          <t>IMAT 413</t>
        </is>
      </c>
      <c r="D40" s="18" t="inlineStr">
        <is>
          <t>Análisis Complejo</t>
        </is>
      </c>
      <c r="E40" s="19" t="n">
        <v>8</v>
      </c>
      <c r="F40" s="17">
        <f>SUM(G40:I40)</f>
        <v/>
      </c>
      <c r="G40" s="20">
        <f>COUNTIF(J40:P40,"X")</f>
        <v/>
      </c>
      <c r="H40" s="20">
        <f>COUNTIF(Q40:AR40,"X")</f>
        <v/>
      </c>
      <c r="I40" s="20">
        <f>COUNTIF(AS40:BV40,"X")</f>
        <v/>
      </c>
      <c r="J40" s="9" t="n"/>
      <c r="K40" s="9" t="n"/>
      <c r="L40" s="9" t="n"/>
      <c r="M40" s="9" t="n"/>
      <c r="N40" s="9" t="n"/>
      <c r="O40" s="9" t="n"/>
      <c r="P40" s="22" t="inlineStr">
        <is>
          <t>X</t>
        </is>
      </c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23" t="inlineStr">
        <is>
          <t>X</t>
        </is>
      </c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21" t="inlineStr">
        <is>
          <t>X</t>
        </is>
      </c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21" t="inlineStr">
        <is>
          <t>X</t>
        </is>
      </c>
      <c r="BS40" s="9" t="n"/>
      <c r="BT40" s="9" t="n"/>
      <c r="BU40" s="9" t="n"/>
      <c r="BV40" s="9" t="n"/>
    </row>
    <row r="41" ht="18" customHeight="1">
      <c r="C41" s="17" t="inlineStr">
        <is>
          <t>IMAT 414</t>
        </is>
      </c>
      <c r="D41" s="18" t="inlineStr">
        <is>
          <t>TIPE II</t>
        </is>
      </c>
      <c r="E41" s="19" t="n">
        <v>6</v>
      </c>
      <c r="F41" s="17">
        <f>SUM(G41:I41)</f>
        <v/>
      </c>
      <c r="G41" s="20">
        <f>COUNTIF(J41:P41,"X")</f>
        <v/>
      </c>
      <c r="H41" s="20">
        <f>COUNTIF(Q41:AR41,"X")</f>
        <v/>
      </c>
      <c r="I41" s="20">
        <f>COUNTIF(AS41:BV41,"X")</f>
        <v/>
      </c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21" t="inlineStr">
        <is>
          <t>X</t>
        </is>
      </c>
      <c r="AV41" s="9" t="n"/>
      <c r="AW41" s="9" t="n"/>
      <c r="AX41" s="9" t="n"/>
      <c r="AY41" s="9" t="n"/>
      <c r="AZ41" s="9" t="n"/>
      <c r="BA41" s="9" t="n"/>
      <c r="BB41" s="21" t="inlineStr">
        <is>
          <t>X</t>
        </is>
      </c>
      <c r="BC41" s="21" t="inlineStr">
        <is>
          <t>X</t>
        </is>
      </c>
      <c r="BD41" s="21" t="inlineStr">
        <is>
          <t>X</t>
        </is>
      </c>
      <c r="BE41" s="9" t="n"/>
      <c r="BF41" s="9" t="n"/>
      <c r="BG41" s="9" t="n"/>
      <c r="BH41" s="9" t="n"/>
      <c r="BI41" s="9" t="n"/>
      <c r="BJ41" s="21" t="inlineStr">
        <is>
          <t>X</t>
        </is>
      </c>
      <c r="BK41" s="21" t="inlineStr">
        <is>
          <t>X</t>
        </is>
      </c>
      <c r="BL41" s="21" t="inlineStr">
        <is>
          <t>X</t>
        </is>
      </c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</row>
    <row r="42" ht="18" customHeight="1">
      <c r="A42" s="15" t="inlineStr">
        <is>
          <t>N2</t>
        </is>
      </c>
      <c r="B42" s="16" t="n">
        <v>8</v>
      </c>
      <c r="C42" s="17" t="inlineStr">
        <is>
          <t>IMAT 325</t>
        </is>
      </c>
      <c r="D42" s="18" t="inlineStr">
        <is>
          <t>Idioma III</t>
        </is>
      </c>
      <c r="E42" s="19" t="n">
        <v>2</v>
      </c>
      <c r="F42" s="17">
        <f>SUM(G42:I42)</f>
        <v/>
      </c>
      <c r="G42" s="20">
        <f>COUNTIF(J42:P42,"X")</f>
        <v/>
      </c>
      <c r="H42" s="20">
        <f>COUNTIF(Q42:AR42,"X")</f>
        <v/>
      </c>
      <c r="I42" s="20">
        <f>COUNTIF(AS42:BV42,"X")</f>
        <v/>
      </c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21" t="inlineStr">
        <is>
          <t>X</t>
        </is>
      </c>
      <c r="BS42" s="21" t="inlineStr">
        <is>
          <t>X</t>
        </is>
      </c>
      <c r="BT42" s="9" t="n"/>
      <c r="BU42" s="9" t="n"/>
      <c r="BV42" s="9" t="n"/>
    </row>
    <row r="43" ht="18" customHeight="1">
      <c r="C43" s="17" t="inlineStr">
        <is>
          <t>IMAT 421</t>
        </is>
      </c>
      <c r="D43" s="18" t="inlineStr">
        <is>
          <t>Análisis Funcional</t>
        </is>
      </c>
      <c r="E43" s="19" t="n">
        <v>8</v>
      </c>
      <c r="F43" s="17">
        <f>SUM(G43:I43)</f>
        <v/>
      </c>
      <c r="G43" s="20">
        <f>COUNTIF(J43:P43,"X")</f>
        <v/>
      </c>
      <c r="H43" s="20">
        <f>COUNTIF(Q43:AR43,"X")</f>
        <v/>
      </c>
      <c r="I43" s="20">
        <f>COUNTIF(AS43:BV43,"X")</f>
        <v/>
      </c>
      <c r="J43" s="9" t="n"/>
      <c r="K43" s="9" t="n"/>
      <c r="L43" s="9" t="n"/>
      <c r="M43" s="9" t="n"/>
      <c r="N43" s="9" t="n"/>
      <c r="O43" s="22" t="inlineStr">
        <is>
          <t>X</t>
        </is>
      </c>
      <c r="P43" s="22" t="inlineStr">
        <is>
          <t>X</t>
        </is>
      </c>
      <c r="Q43" s="9" t="n"/>
      <c r="R43" s="9" t="n"/>
      <c r="S43" s="9" t="n"/>
      <c r="T43" s="9" t="n"/>
      <c r="U43" s="23" t="inlineStr">
        <is>
          <t>X</t>
        </is>
      </c>
      <c r="V43" s="9" t="n"/>
      <c r="W43" s="9" t="n"/>
      <c r="X43" s="23" t="inlineStr">
        <is>
          <t>X</t>
        </is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21" t="inlineStr">
        <is>
          <t>X</t>
        </is>
      </c>
      <c r="AV43" s="21" t="inlineStr">
        <is>
          <t>X</t>
        </is>
      </c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21" t="inlineStr">
        <is>
          <t>X</t>
        </is>
      </c>
      <c r="BS43" s="21" t="inlineStr">
        <is>
          <t>X</t>
        </is>
      </c>
      <c r="BT43" s="9" t="n"/>
      <c r="BU43" s="9" t="n"/>
      <c r="BV43" s="9" t="n"/>
    </row>
    <row r="44" ht="18" customHeight="1">
      <c r="C44" s="17" t="inlineStr">
        <is>
          <t>IMAT 422</t>
        </is>
      </c>
      <c r="D44" s="18" t="inlineStr">
        <is>
          <t>Procesos Estocásticos</t>
        </is>
      </c>
      <c r="E44" s="19" t="n">
        <v>8</v>
      </c>
      <c r="F44" s="17">
        <f>SUM(G44:I44)</f>
        <v/>
      </c>
      <c r="G44" s="20">
        <f>COUNTIF(J44:P44,"X")</f>
        <v/>
      </c>
      <c r="H44" s="20">
        <f>COUNTIF(Q44:AR44,"X")</f>
        <v/>
      </c>
      <c r="I44" s="20">
        <f>COUNTIF(AS44:BV44,"X")</f>
        <v/>
      </c>
      <c r="J44" s="9" t="n"/>
      <c r="K44" s="9" t="n"/>
      <c r="L44" s="9" t="n"/>
      <c r="M44" s="22" t="inlineStr">
        <is>
          <t>X</t>
        </is>
      </c>
      <c r="N44" s="9" t="n"/>
      <c r="O44" s="9" t="n"/>
      <c r="P44" s="22" t="inlineStr">
        <is>
          <t>X</t>
        </is>
      </c>
      <c r="Q44" s="9" t="n"/>
      <c r="R44" s="9" t="n"/>
      <c r="S44" s="9" t="n"/>
      <c r="T44" s="9" t="n"/>
      <c r="U44" s="23" t="inlineStr">
        <is>
          <t>X</t>
        </is>
      </c>
      <c r="V44" s="9" t="n"/>
      <c r="W44" s="9" t="n"/>
      <c r="X44" s="9" t="n"/>
      <c r="Y44" s="9" t="n"/>
      <c r="Z44" s="23" t="inlineStr">
        <is>
          <t>X</t>
        </is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23" t="inlineStr">
        <is>
          <t>X</t>
        </is>
      </c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21" t="inlineStr">
        <is>
          <t>X</t>
        </is>
      </c>
      <c r="AW44" s="9" t="n"/>
      <c r="AX44" s="9" t="n"/>
      <c r="AY44" s="9" t="n"/>
      <c r="AZ44" s="9" t="n"/>
      <c r="BA44" s="9" t="n"/>
      <c r="BB44" s="9" t="n"/>
      <c r="BC44" s="21" t="inlineStr">
        <is>
          <t>X</t>
        </is>
      </c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21" t="inlineStr">
        <is>
          <t>X</t>
        </is>
      </c>
      <c r="BS44" s="9" t="n"/>
      <c r="BT44" s="9" t="n"/>
      <c r="BU44" s="9" t="n"/>
      <c r="BV44" s="9" t="n"/>
    </row>
    <row r="45" ht="18" customHeight="1">
      <c r="C45" s="17" t="inlineStr">
        <is>
          <t>IMAT 424</t>
        </is>
      </c>
      <c r="D45" s="18" t="inlineStr">
        <is>
          <t>Taller de Integración al Perfil de Egreso Ingeniería Civil Matemática (TIPE ICM)</t>
        </is>
      </c>
      <c r="E45" s="19" t="n">
        <v>6</v>
      </c>
      <c r="F45" s="17">
        <f>SUM(G45:I45)</f>
        <v/>
      </c>
      <c r="G45" s="20">
        <f>COUNTIF(J45:P45,"X")</f>
        <v/>
      </c>
      <c r="H45" s="20">
        <f>COUNTIF(Q45:AR45,"X")</f>
        <v/>
      </c>
      <c r="I45" s="20">
        <f>COUNTIF(AS45:BV45,"X")</f>
        <v/>
      </c>
      <c r="J45" s="9" t="n"/>
      <c r="K45" s="9" t="n"/>
      <c r="L45" s="9" t="n"/>
      <c r="M45" s="22" t="inlineStr">
        <is>
          <t>X</t>
        </is>
      </c>
      <c r="N45" s="9" t="n"/>
      <c r="O45" s="9" t="n"/>
      <c r="P45" s="22" t="inlineStr">
        <is>
          <t>X</t>
        </is>
      </c>
      <c r="Q45" s="9" t="n"/>
      <c r="R45" s="9" t="n"/>
      <c r="S45" s="9" t="n"/>
      <c r="T45" s="9" t="n"/>
      <c r="U45" s="23" t="inlineStr">
        <is>
          <t>X</t>
        </is>
      </c>
      <c r="V45" s="9" t="n"/>
      <c r="W45" s="9" t="n"/>
      <c r="X45" s="9" t="n"/>
      <c r="Y45" s="9" t="n"/>
      <c r="Z45" s="23" t="inlineStr">
        <is>
          <t>X</t>
        </is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23" t="inlineStr">
        <is>
          <t>X</t>
        </is>
      </c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21" t="inlineStr">
        <is>
          <t>X</t>
        </is>
      </c>
      <c r="AW45" s="9" t="n"/>
      <c r="AX45" s="9" t="n"/>
      <c r="AY45" s="9" t="n"/>
      <c r="AZ45" s="9" t="n"/>
      <c r="BA45" s="9" t="n"/>
      <c r="BB45" s="9" t="n"/>
      <c r="BC45" s="21" t="inlineStr">
        <is>
          <t>X</t>
        </is>
      </c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21" t="inlineStr">
        <is>
          <t>X</t>
        </is>
      </c>
      <c r="BS45" s="9" t="n"/>
      <c r="BT45" s="9" t="n"/>
      <c r="BU45" s="9" t="n"/>
      <c r="BV45" s="9" t="n"/>
    </row>
    <row r="46" ht="18" customHeight="1">
      <c r="C46" s="17" t="inlineStr">
        <is>
          <t>IMAT 521</t>
        </is>
      </c>
      <c r="D46" s="18" t="inlineStr">
        <is>
          <t>Optimización Combinatorial</t>
        </is>
      </c>
      <c r="E46" s="19" t="n">
        <v>8</v>
      </c>
      <c r="F46" s="17">
        <f>SUM(G46:I46)</f>
        <v/>
      </c>
      <c r="G46" s="20">
        <f>COUNTIF(J46:P46,"X")</f>
        <v/>
      </c>
      <c r="H46" s="20">
        <f>COUNTIF(Q46:AR46,"X")</f>
        <v/>
      </c>
      <c r="I46" s="20">
        <f>COUNTIF(AS46:BV46,"X")</f>
        <v/>
      </c>
      <c r="J46" s="9" t="n"/>
      <c r="K46" s="9" t="n"/>
      <c r="L46" s="22" t="inlineStr">
        <is>
          <t>X</t>
        </is>
      </c>
      <c r="M46" s="9" t="n"/>
      <c r="N46" s="9" t="n"/>
      <c r="O46" s="9" t="n"/>
      <c r="P46" s="22" t="inlineStr">
        <is>
          <t>X</t>
        </is>
      </c>
      <c r="Q46" s="9" t="n"/>
      <c r="R46" s="9" t="n"/>
      <c r="S46" s="9" t="n"/>
      <c r="T46" s="9" t="n"/>
      <c r="U46" s="23" t="inlineStr">
        <is>
          <t>X</t>
        </is>
      </c>
      <c r="V46" s="9" t="n"/>
      <c r="W46" s="23" t="inlineStr">
        <is>
          <t>X</t>
        </is>
      </c>
      <c r="X46" s="9" t="n"/>
      <c r="Y46" s="23" t="inlineStr">
        <is>
          <t>X</t>
        </is>
      </c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3" t="inlineStr">
        <is>
          <t>X</t>
        </is>
      </c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21" t="inlineStr">
        <is>
          <t>X</t>
        </is>
      </c>
      <c r="AW46" s="9" t="n"/>
      <c r="AX46" s="9" t="n"/>
      <c r="AY46" s="9" t="n"/>
      <c r="AZ46" s="9" t="n"/>
      <c r="BA46" s="9" t="n"/>
      <c r="BB46" s="9" t="n"/>
      <c r="BC46" s="9" t="n"/>
      <c r="BD46" s="21" t="inlineStr">
        <is>
          <t>X</t>
        </is>
      </c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</row>
    <row r="47" ht="18" customHeight="1">
      <c r="A47" s="15" t="inlineStr">
        <is>
          <t>N3</t>
        </is>
      </c>
      <c r="B47" s="16" t="n">
        <v>9</v>
      </c>
      <c r="C47" s="17" t="inlineStr">
        <is>
          <t>IMAT 511</t>
        </is>
      </c>
      <c r="D47" s="18" t="inlineStr">
        <is>
          <t>Grafos</t>
        </is>
      </c>
      <c r="E47" s="19" t="n">
        <v>8</v>
      </c>
      <c r="F47" s="17">
        <f>SUM(G47:I47)</f>
        <v/>
      </c>
      <c r="G47" s="20">
        <f>COUNTIF(J47:P47,"X")</f>
        <v/>
      </c>
      <c r="H47" s="20">
        <f>COUNTIF(Q47:AR47,"X")</f>
        <v/>
      </c>
      <c r="I47" s="20">
        <f>COUNTIF(AS47:BV47,"X")</f>
        <v/>
      </c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3" t="inlineStr">
        <is>
          <t>X</t>
        </is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23" t="inlineStr">
        <is>
          <t>X</t>
        </is>
      </c>
      <c r="AN47" s="9" t="n"/>
      <c r="AO47" s="9" t="n"/>
      <c r="AP47" s="23" t="inlineStr">
        <is>
          <t>X</t>
        </is>
      </c>
      <c r="AQ47" s="9" t="n"/>
      <c r="AR47" s="9" t="n"/>
      <c r="AS47" s="9" t="n"/>
      <c r="AT47" s="9" t="n"/>
      <c r="AU47" s="9" t="n"/>
      <c r="AV47" s="9" t="n"/>
      <c r="AW47" s="9" t="n"/>
      <c r="AX47" s="21" t="inlineStr">
        <is>
          <t>X</t>
        </is>
      </c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21" t="inlineStr">
        <is>
          <t>X</t>
        </is>
      </c>
      <c r="BU47" s="9" t="n"/>
      <c r="BV47" s="21" t="inlineStr">
        <is>
          <t>X</t>
        </is>
      </c>
    </row>
    <row r="48" ht="18" customHeight="1">
      <c r="C48" s="17" t="inlineStr">
        <is>
          <t>IMAT 512</t>
        </is>
      </c>
      <c r="D48" s="18" t="inlineStr">
        <is>
          <t>Modelación Estocástica</t>
        </is>
      </c>
      <c r="E48" s="19" t="n">
        <v>8</v>
      </c>
      <c r="F48" s="17">
        <f>SUM(G48:I48)</f>
        <v/>
      </c>
      <c r="G48" s="20">
        <f>COUNTIF(J48:P48,"X")</f>
        <v/>
      </c>
      <c r="H48" s="20">
        <f>COUNTIF(Q48:AR48,"X")</f>
        <v/>
      </c>
      <c r="I48" s="20">
        <f>COUNTIF(AS48:BV48,"X")</f>
        <v/>
      </c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23" t="inlineStr">
        <is>
          <t>X</t>
        </is>
      </c>
      <c r="AC48" s="9" t="n"/>
      <c r="AD48" s="23" t="inlineStr">
        <is>
          <t>X</t>
        </is>
      </c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23" t="inlineStr">
        <is>
          <t>X</t>
        </is>
      </c>
      <c r="AS48" s="9" t="n"/>
      <c r="AT48" s="9" t="n"/>
      <c r="AU48" s="9" t="n"/>
      <c r="AV48" s="9" t="n"/>
      <c r="AW48" s="21" t="inlineStr">
        <is>
          <t>X</t>
        </is>
      </c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21" t="inlineStr">
        <is>
          <t>X</t>
        </is>
      </c>
    </row>
    <row r="49" ht="18" customHeight="1">
      <c r="C49" s="17" t="inlineStr">
        <is>
          <t>IMAT 514</t>
        </is>
      </c>
      <c r="D49" s="18" t="inlineStr">
        <is>
          <t>Electivo de Ingeniería I</t>
        </is>
      </c>
      <c r="E49" s="19" t="n">
        <v>6</v>
      </c>
      <c r="F49" s="17">
        <f>SUM(G49:I49)</f>
        <v/>
      </c>
      <c r="G49" s="20">
        <f>COUNTIF(J49:P49,"X")</f>
        <v/>
      </c>
      <c r="H49" s="20">
        <f>COUNTIF(Q49:AR49,"X")</f>
        <v/>
      </c>
      <c r="I49" s="20">
        <f>COUNTIF(AS49:BV49,"X")</f>
        <v/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</row>
    <row r="50" ht="18" customHeight="1">
      <c r="C50" s="17" t="inlineStr">
        <is>
          <t>IMAT 515</t>
        </is>
      </c>
      <c r="D50" s="18" t="inlineStr">
        <is>
          <t>Práctica Básica</t>
        </is>
      </c>
      <c r="E50" s="19" t="n">
        <v>9</v>
      </c>
      <c r="F50" s="17">
        <f>SUM(G50:I50)</f>
        <v/>
      </c>
      <c r="G50" s="20">
        <f>COUNTIF(J50:P50,"X")</f>
        <v/>
      </c>
      <c r="H50" s="20">
        <f>COUNTIF(Q50:AR50,"X")</f>
        <v/>
      </c>
      <c r="I50" s="20">
        <f>COUNTIF(AS50:BV50,"X")</f>
        <v/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23" t="inlineStr">
        <is>
          <t>X</t>
        </is>
      </c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21" t="inlineStr">
        <is>
          <t>X</t>
        </is>
      </c>
      <c r="BE50" s="9" t="n"/>
      <c r="BF50" s="9" t="n"/>
      <c r="BG50" s="9" t="n"/>
      <c r="BH50" s="9" t="n"/>
      <c r="BI50" s="9" t="n"/>
      <c r="BJ50" s="9" t="n"/>
      <c r="BK50" s="9" t="n"/>
      <c r="BL50" s="9" t="n"/>
      <c r="BM50" s="21" t="inlineStr">
        <is>
          <t>X</t>
        </is>
      </c>
      <c r="BN50" s="9" t="n"/>
      <c r="BO50" s="21" t="inlineStr">
        <is>
          <t>X</t>
        </is>
      </c>
      <c r="BP50" s="9" t="n"/>
      <c r="BQ50" s="21" t="inlineStr">
        <is>
          <t>X</t>
        </is>
      </c>
      <c r="BR50" s="9" t="n"/>
      <c r="BS50" s="9" t="n"/>
      <c r="BT50" s="21" t="inlineStr">
        <is>
          <t>X</t>
        </is>
      </c>
      <c r="BU50" s="21" t="inlineStr">
        <is>
          <t>X</t>
        </is>
      </c>
      <c r="BV50" s="21" t="inlineStr">
        <is>
          <t>X</t>
        </is>
      </c>
    </row>
    <row r="51" ht="18" customHeight="1">
      <c r="A51" s="15" t="inlineStr">
        <is>
          <t>N3</t>
        </is>
      </c>
      <c r="B51" s="16" t="n">
        <v>10</v>
      </c>
      <c r="C51" s="17" t="inlineStr">
        <is>
          <t>IMAT 415</t>
        </is>
      </c>
      <c r="D51" s="18" t="inlineStr">
        <is>
          <t>Idioma IV</t>
        </is>
      </c>
      <c r="E51" s="19" t="n">
        <v>2</v>
      </c>
      <c r="F51" s="17">
        <f>SUM(G51:I51)</f>
        <v/>
      </c>
      <c r="G51" s="20">
        <f>COUNTIF(J51:P51,"X")</f>
        <v/>
      </c>
      <c r="H51" s="20">
        <f>COUNTIF(Q51:AR51,"X")</f>
        <v/>
      </c>
      <c r="I51" s="20">
        <f>COUNTIF(AS51:BV51,"X")</f>
        <v/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21" t="inlineStr">
        <is>
          <t>X</t>
        </is>
      </c>
      <c r="BU51" s="21" t="inlineStr">
        <is>
          <t>X</t>
        </is>
      </c>
      <c r="BV51" s="21" t="inlineStr">
        <is>
          <t>X</t>
        </is>
      </c>
    </row>
    <row r="52" ht="18" customHeight="1">
      <c r="C52" s="17" t="inlineStr">
        <is>
          <t>IMAT 513</t>
        </is>
      </c>
      <c r="D52" s="18" t="inlineStr">
        <is>
          <t>Electivo de formación profesional III</t>
        </is>
      </c>
      <c r="E52" s="19" t="n">
        <v>6</v>
      </c>
      <c r="F52" s="17">
        <f>SUM(G52:I52)</f>
        <v/>
      </c>
      <c r="G52" s="20">
        <f>COUNTIF(J52:P52,"X")</f>
        <v/>
      </c>
      <c r="H52" s="20">
        <f>COUNTIF(Q52:AR52,"X")</f>
        <v/>
      </c>
      <c r="I52" s="20">
        <f>COUNTIF(AS52:BV52,"X")</f>
        <v/>
      </c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</row>
    <row r="53" ht="18" customHeight="1">
      <c r="C53" s="17" t="inlineStr">
        <is>
          <t>IMAT 522</t>
        </is>
      </c>
      <c r="D53" s="18" t="inlineStr">
        <is>
          <t>Ecuaciones en Derivadas Parciales</t>
        </is>
      </c>
      <c r="E53" s="19" t="n">
        <v>6</v>
      </c>
      <c r="F53" s="17">
        <f>SUM(G53:I53)</f>
        <v/>
      </c>
      <c r="G53" s="20">
        <f>COUNTIF(J53:P53,"X")</f>
        <v/>
      </c>
      <c r="H53" s="20">
        <f>COUNTIF(Q53:AR53,"X")</f>
        <v/>
      </c>
      <c r="I53" s="20">
        <f>COUNTIF(AS53:BV53,"X")</f>
        <v/>
      </c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23" t="inlineStr">
        <is>
          <t>X</t>
        </is>
      </c>
      <c r="AC53" s="23" t="inlineStr">
        <is>
          <t>X</t>
        </is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23" t="inlineStr">
        <is>
          <t>X</t>
        </is>
      </c>
      <c r="AR53" s="9" t="n"/>
      <c r="AS53" s="9" t="n"/>
      <c r="AT53" s="9" t="n"/>
      <c r="AU53" s="9" t="n"/>
      <c r="AV53" s="9" t="n"/>
      <c r="AW53" s="21" t="inlineStr">
        <is>
          <t>X</t>
        </is>
      </c>
      <c r="AX53" s="9" t="n"/>
      <c r="AY53" s="9" t="n"/>
      <c r="AZ53" s="9" t="n"/>
      <c r="BA53" s="9" t="n"/>
      <c r="BB53" s="9" t="n"/>
      <c r="BC53" s="9" t="n"/>
      <c r="BD53" s="9" t="n"/>
      <c r="BE53" s="21" t="inlineStr">
        <is>
          <t>X</t>
        </is>
      </c>
      <c r="BF53" s="21" t="inlineStr">
        <is>
          <t>X</t>
        </is>
      </c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21" t="inlineStr">
        <is>
          <t>X</t>
        </is>
      </c>
    </row>
    <row r="54" ht="18" customHeight="1">
      <c r="C54" s="17" t="inlineStr">
        <is>
          <t>IMAT 523</t>
        </is>
      </c>
      <c r="D54" s="18" t="inlineStr">
        <is>
          <t>Proyecto de Ingeniería</t>
        </is>
      </c>
      <c r="E54" s="19" t="n">
        <v>16</v>
      </c>
      <c r="F54" s="17">
        <f>SUM(G54:I54)</f>
        <v/>
      </c>
      <c r="G54" s="20">
        <f>COUNTIF(J54:P54,"X")</f>
        <v/>
      </c>
      <c r="H54" s="20">
        <f>COUNTIF(Q54:AR54,"X")</f>
        <v/>
      </c>
      <c r="I54" s="20">
        <f>COUNTIF(AS54:BV54,"X")</f>
        <v/>
      </c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23" t="inlineStr">
        <is>
          <t>X</t>
        </is>
      </c>
      <c r="AC54" s="23" t="inlineStr">
        <is>
          <t>X</t>
        </is>
      </c>
      <c r="AD54" s="23" t="inlineStr">
        <is>
          <t>X</t>
        </is>
      </c>
      <c r="AE54" s="9" t="n"/>
      <c r="AF54" s="9" t="n"/>
      <c r="AG54" s="9" t="n"/>
      <c r="AH54" s="9" t="n"/>
      <c r="AI54" s="9" t="n"/>
      <c r="AJ54" s="9" t="n"/>
      <c r="AK54" s="9" t="n"/>
      <c r="AL54" s="9" t="n"/>
      <c r="AM54" s="23" t="inlineStr">
        <is>
          <t>X</t>
        </is>
      </c>
      <c r="AN54" s="23" t="inlineStr">
        <is>
          <t>X</t>
        </is>
      </c>
      <c r="AO54" s="23" t="inlineStr">
        <is>
          <t>X</t>
        </is>
      </c>
      <c r="AP54" s="23" t="inlineStr">
        <is>
          <t>X</t>
        </is>
      </c>
      <c r="AQ54" s="23" t="inlineStr">
        <is>
          <t>X</t>
        </is>
      </c>
      <c r="AR54" s="23" t="inlineStr">
        <is>
          <t>X</t>
        </is>
      </c>
      <c r="AS54" s="9" t="n"/>
      <c r="AT54" s="9" t="n"/>
      <c r="AU54" s="9" t="n"/>
      <c r="AV54" s="9" t="n"/>
      <c r="AW54" s="21" t="inlineStr">
        <is>
          <t>X</t>
        </is>
      </c>
      <c r="AX54" s="21" t="inlineStr">
        <is>
          <t>X</t>
        </is>
      </c>
      <c r="AY54" s="9" t="n"/>
      <c r="AZ54" s="9" t="n"/>
      <c r="BA54" s="9" t="n"/>
      <c r="BB54" s="9" t="n"/>
      <c r="BC54" s="9" t="n"/>
      <c r="BD54" s="9" t="n"/>
      <c r="BE54" s="21" t="inlineStr">
        <is>
          <t>X</t>
        </is>
      </c>
      <c r="BF54" s="21" t="inlineStr">
        <is>
          <t>X</t>
        </is>
      </c>
      <c r="BG54" s="9" t="n"/>
      <c r="BH54" s="9" t="n"/>
      <c r="BI54" s="9" t="n"/>
      <c r="BJ54" s="9" t="n"/>
      <c r="BK54" s="9" t="n"/>
      <c r="BL54" s="9" t="n"/>
      <c r="BM54" s="21" t="inlineStr">
        <is>
          <t>X</t>
        </is>
      </c>
      <c r="BN54" s="21" t="inlineStr">
        <is>
          <t>X</t>
        </is>
      </c>
      <c r="BO54" s="9" t="n"/>
      <c r="BP54" s="9" t="n"/>
      <c r="BQ54" s="9" t="n"/>
      <c r="BR54" s="9" t="n"/>
      <c r="BS54" s="9" t="n"/>
      <c r="BT54" s="21" t="inlineStr">
        <is>
          <t>X</t>
        </is>
      </c>
      <c r="BU54" s="21" t="inlineStr">
        <is>
          <t>X</t>
        </is>
      </c>
      <c r="BV54" s="21" t="inlineStr">
        <is>
          <t>X</t>
        </is>
      </c>
    </row>
    <row r="55" ht="18" customHeight="1">
      <c r="C55" s="17" t="inlineStr">
        <is>
          <t>IMAT 524</t>
        </is>
      </c>
      <c r="D55" s="18" t="inlineStr">
        <is>
          <t>Electivo de formación profesional II</t>
        </is>
      </c>
      <c r="E55" s="19" t="n">
        <v>6</v>
      </c>
      <c r="F55" s="17">
        <f>SUM(G55:I55)</f>
        <v/>
      </c>
      <c r="G55" s="20">
        <f>COUNTIF(J55:P55,"X")</f>
        <v/>
      </c>
      <c r="H55" s="20">
        <f>COUNTIF(Q55:AR55,"X")</f>
        <v/>
      </c>
      <c r="I55" s="20">
        <f>COUNTIF(AS55:BV55,"X")</f>
        <v/>
      </c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</row>
    <row r="56" ht="18" customHeight="1">
      <c r="A56" s="15" t="inlineStr">
        <is>
          <t>N3</t>
        </is>
      </c>
      <c r="B56" s="16" t="n">
        <v>11</v>
      </c>
      <c r="C56" s="17" t="inlineStr">
        <is>
          <t>IMAT 611</t>
        </is>
      </c>
      <c r="D56" s="18" t="inlineStr">
        <is>
          <t>Taller de Título</t>
        </is>
      </c>
      <c r="E56" s="19" t="n">
        <v>30</v>
      </c>
      <c r="F56" s="17">
        <f>SUM(G56:I56)</f>
        <v/>
      </c>
      <c r="G56" s="20">
        <f>COUNTIF(J56:P56,"X")</f>
        <v/>
      </c>
      <c r="H56" s="20">
        <f>COUNTIF(Q56:AR56,"X")</f>
        <v/>
      </c>
      <c r="I56" s="20">
        <f>COUNTIF(AS56:BV56,"X")</f>
        <v/>
      </c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23" t="inlineStr">
        <is>
          <t>X</t>
        </is>
      </c>
      <c r="AC56" s="23" t="inlineStr">
        <is>
          <t>X</t>
        </is>
      </c>
      <c r="AD56" s="23" t="inlineStr">
        <is>
          <t>X</t>
        </is>
      </c>
      <c r="AE56" s="9" t="n"/>
      <c r="AF56" s="9" t="n"/>
      <c r="AG56" s="9" t="n"/>
      <c r="AH56" s="9" t="n"/>
      <c r="AI56" s="9" t="n"/>
      <c r="AJ56" s="9" t="n"/>
      <c r="AK56" s="9" t="n"/>
      <c r="AL56" s="9" t="n"/>
      <c r="AM56" s="23" t="inlineStr">
        <is>
          <t>X</t>
        </is>
      </c>
      <c r="AN56" s="23" t="inlineStr">
        <is>
          <t>X</t>
        </is>
      </c>
      <c r="AO56" s="23" t="inlineStr">
        <is>
          <t>X</t>
        </is>
      </c>
      <c r="AP56" s="23" t="inlineStr">
        <is>
          <t>X</t>
        </is>
      </c>
      <c r="AQ56" s="23" t="inlineStr">
        <is>
          <t>X</t>
        </is>
      </c>
      <c r="AR56" s="23" t="inlineStr">
        <is>
          <t>X</t>
        </is>
      </c>
      <c r="AS56" s="9" t="n"/>
      <c r="AT56" s="9" t="n"/>
      <c r="AU56" s="9" t="n"/>
      <c r="AV56" s="9" t="n"/>
      <c r="AW56" s="21" t="inlineStr">
        <is>
          <t>X</t>
        </is>
      </c>
      <c r="AX56" s="21" t="inlineStr">
        <is>
          <t>X</t>
        </is>
      </c>
      <c r="AY56" s="9" t="n"/>
      <c r="AZ56" s="9" t="n"/>
      <c r="BA56" s="9" t="n"/>
      <c r="BB56" s="9" t="n"/>
      <c r="BC56" s="9" t="n"/>
      <c r="BD56" s="9" t="n"/>
      <c r="BE56" s="21" t="inlineStr">
        <is>
          <t>X</t>
        </is>
      </c>
      <c r="BF56" s="21" t="inlineStr">
        <is>
          <t>X</t>
        </is>
      </c>
      <c r="BG56" s="9" t="n"/>
      <c r="BH56" s="9" t="n"/>
      <c r="BI56" s="9" t="n"/>
      <c r="BJ56" s="9" t="n"/>
      <c r="BK56" s="9" t="n"/>
      <c r="BL56" s="9" t="n"/>
      <c r="BM56" s="21" t="inlineStr">
        <is>
          <t>X</t>
        </is>
      </c>
      <c r="BN56" s="21" t="inlineStr">
        <is>
          <t>X</t>
        </is>
      </c>
      <c r="BO56" s="9" t="n"/>
      <c r="BP56" s="9" t="n"/>
      <c r="BQ56" s="9" t="n"/>
      <c r="BR56" s="9" t="n"/>
      <c r="BS56" s="9" t="n"/>
      <c r="BT56" s="21" t="inlineStr">
        <is>
          <t>X</t>
        </is>
      </c>
      <c r="BU56" s="21" t="inlineStr">
        <is>
          <t>X</t>
        </is>
      </c>
      <c r="BV56" s="21" t="inlineStr">
        <is>
          <t>X</t>
        </is>
      </c>
    </row>
    <row r="57" ht="18" customHeight="1">
      <c r="C57" s="17" t="inlineStr">
        <is>
          <t>IMAT 612</t>
        </is>
      </c>
      <c r="D57" s="18" t="inlineStr">
        <is>
          <t>Práctica Profesional</t>
        </is>
      </c>
      <c r="E57" s="19" t="n">
        <v>12</v>
      </c>
      <c r="F57" s="17">
        <f>SUM(G57:I57)</f>
        <v/>
      </c>
      <c r="G57" s="20">
        <f>COUNTIF(J57:P57,"X")</f>
        <v/>
      </c>
      <c r="H57" s="20">
        <f>COUNTIF(Q57:AR57,"X")</f>
        <v/>
      </c>
      <c r="I57" s="20">
        <f>COUNTIF(AS57:BV57,"X")</f>
        <v/>
      </c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23" t="inlineStr">
        <is>
          <t>X</t>
        </is>
      </c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23" t="inlineStr">
        <is>
          <t>X</t>
        </is>
      </c>
      <c r="AN57" s="23" t="inlineStr">
        <is>
          <t>X</t>
        </is>
      </c>
      <c r="AO57" s="23" t="inlineStr">
        <is>
          <t>X</t>
        </is>
      </c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21" t="inlineStr">
        <is>
          <t>X</t>
        </is>
      </c>
      <c r="BE57" s="9" t="n"/>
      <c r="BF57" s="9" t="n"/>
      <c r="BG57" s="9" t="n"/>
      <c r="BH57" s="9" t="n"/>
      <c r="BI57" s="9" t="n"/>
      <c r="BJ57" s="9" t="n"/>
      <c r="BK57" s="9" t="n"/>
      <c r="BL57" s="9" t="n"/>
      <c r="BM57" s="21" t="inlineStr">
        <is>
          <t>X</t>
        </is>
      </c>
      <c r="BN57" s="9" t="n"/>
      <c r="BO57" s="21" t="inlineStr">
        <is>
          <t>X</t>
        </is>
      </c>
      <c r="BP57" s="9" t="n"/>
      <c r="BQ57" s="21" t="inlineStr">
        <is>
          <t>X</t>
        </is>
      </c>
      <c r="BR57" s="9" t="n"/>
      <c r="BS57" s="9" t="n"/>
      <c r="BT57" s="21" t="inlineStr">
        <is>
          <t>X</t>
        </is>
      </c>
      <c r="BU57" s="21" t="inlineStr">
        <is>
          <t>X</t>
        </is>
      </c>
      <c r="BV57" s="21" t="inlineStr">
        <is>
          <t>X</t>
        </is>
      </c>
    </row>
  </sheetData>
  <mergeCells count="43">
    <mergeCell ref="AY3:BF3"/>
    <mergeCell ref="B47:B50"/>
    <mergeCell ref="BG3:BN3"/>
    <mergeCell ref="J3:M3"/>
    <mergeCell ref="Q3:AD3"/>
    <mergeCell ref="A42:A46"/>
    <mergeCell ref="B6:B10"/>
    <mergeCell ref="B2:B3"/>
    <mergeCell ref="A33:A37"/>
    <mergeCell ref="D2:D3"/>
    <mergeCell ref="J2:P2"/>
    <mergeCell ref="F2:F3"/>
    <mergeCell ref="H2:H3"/>
    <mergeCell ref="B27:B32"/>
    <mergeCell ref="Q2:AR2"/>
    <mergeCell ref="B21:B26"/>
    <mergeCell ref="B33:B37"/>
    <mergeCell ref="A56:A57"/>
    <mergeCell ref="AE3:AR3"/>
    <mergeCell ref="B51:B55"/>
    <mergeCell ref="N3:P3"/>
    <mergeCell ref="AS2:BV2"/>
    <mergeCell ref="A2:A3"/>
    <mergeCell ref="C2:C3"/>
    <mergeCell ref="B38:B41"/>
    <mergeCell ref="E2:E3"/>
    <mergeCell ref="B16:B20"/>
    <mergeCell ref="A27:A32"/>
    <mergeCell ref="AS3:AX3"/>
    <mergeCell ref="A1:BV1"/>
    <mergeCell ref="A21:A26"/>
    <mergeCell ref="A51:A55"/>
    <mergeCell ref="BO3:BV3"/>
    <mergeCell ref="A11:A15"/>
    <mergeCell ref="A6:A10"/>
    <mergeCell ref="A47:A50"/>
    <mergeCell ref="A38:A41"/>
    <mergeCell ref="B11:B15"/>
    <mergeCell ref="A16:A20"/>
    <mergeCell ref="B56:B57"/>
    <mergeCell ref="B42:B46"/>
    <mergeCell ref="G2:G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2026-07-15T14:08:03Z</dcterms:created>
  <dcterms:modified xmlns:dcterms="http://purl.org/dc/terms/" xmlns:xsi="http://www.w3.org/2001/XMLSchema-instance" xsi:type="dcterms:W3CDTF">2026-07-15T14:08:03Z</dcterms:modified>
</cp:coreProperties>
</file>
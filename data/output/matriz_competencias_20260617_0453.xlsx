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Compe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color rgb="001F4E79"/>
      <sz val="8"/>
    </font>
    <font>
      <name val="Calibri"/>
      <color rgb="00375623"/>
      <sz val="8"/>
    </font>
    <font>
      <name val="Calibri"/>
      <color rgb="00843C0C"/>
      <sz val="8"/>
    </font>
    <font>
      <name val="Calibri"/>
      <b val="1"/>
      <color rgb="001F4E79"/>
      <sz val="14"/>
    </font>
    <font>
      <name val="Calibri"/>
      <b val="1"/>
      <color rgb="00000000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E79"/>
      <sz val="10"/>
    </font>
    <font>
      <name val="Calibri"/>
      <b val="1"/>
      <color rgb="00375623"/>
      <sz val="10"/>
    </font>
    <font>
      <name val="Calibri"/>
      <b val="1"/>
      <color rgb="00843C0C"/>
      <sz val="10"/>
    </font>
  </fonts>
  <fills count="9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bottom" textRotation="90"/>
    </xf>
    <xf numFmtId="0" fontId="5" fillId="4" borderId="1" applyAlignment="1" pivotButton="0" quotePrefix="0" xfId="0">
      <alignment horizontal="center" vertical="bottom" textRotation="90"/>
    </xf>
    <xf numFmtId="0" fontId="6" fillId="5" borderId="1" applyAlignment="1" pivotButton="0" quotePrefix="0" xfId="0">
      <alignment horizontal="center" vertical="bottom" textRotation="90"/>
    </xf>
    <xf numFmtId="0" fontId="0" fillId="2" borderId="1" pivotButton="0" quotePrefix="0" xfId="0"/>
    <xf numFmtId="0" fontId="2" fillId="2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textRotation="90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12" customWidth="1" min="3" max="3"/>
    <col width="3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</cols>
  <sheetData>
    <row r="1" ht="22" customHeight="1">
      <c r="A1" s="1" t="inlineStr">
        <is>
          <t>MATRIZ DE TRIBUTACIÓN DE COMPETENCIAS — INGENIERÍA CIVIL MATEMÁTICA, PLAN 2025</t>
        </is>
      </c>
    </row>
    <row r="2">
      <c r="A2" s="2" t="inlineStr">
        <is>
          <t>Nivel</t>
        </is>
      </c>
      <c r="B2" s="2" t="inlineStr">
        <is>
          <t>Sem</t>
        </is>
      </c>
      <c r="C2" s="2" t="inlineStr">
        <is>
          <t>Código</t>
        </is>
      </c>
      <c r="D2" s="2" t="inlineStr">
        <is>
          <t>Nombre de Asignatura</t>
        </is>
      </c>
      <c r="E2" s="2" t="inlineStr">
        <is>
          <t>Créd.</t>
        </is>
      </c>
      <c r="F2" s="2" t="inlineStr">
        <is>
          <t>Total</t>
        </is>
      </c>
      <c r="G2" s="3" t="inlineStr">
        <is>
          <t>Lic.</t>
        </is>
      </c>
      <c r="H2" s="4" t="inlineStr">
        <is>
          <t>Tít.</t>
        </is>
      </c>
      <c r="I2" s="5" t="inlineStr">
        <is>
          <t>Sello</t>
        </is>
      </c>
      <c r="J2" s="6" t="inlineStr">
        <is>
          <t>Competencias de Licenciatura</t>
        </is>
      </c>
      <c r="T2" s="7" t="inlineStr">
        <is>
          <t>Competencias Específicas del Título</t>
        </is>
      </c>
      <c r="AQ2" s="8" t="inlineStr">
        <is>
          <t>Competencias Genéricas Sello UV</t>
        </is>
      </c>
    </row>
    <row r="3">
      <c r="J3" s="6" t="inlineStr">
        <is>
          <t>CL1</t>
        </is>
      </c>
      <c r="P3" s="6" t="inlineStr">
        <is>
          <t>CL2</t>
        </is>
      </c>
      <c r="T3" s="7" t="inlineStr">
        <is>
          <t>CE1</t>
        </is>
      </c>
      <c r="AG3" s="7" t="inlineStr">
        <is>
          <t>CE2</t>
        </is>
      </c>
      <c r="AQ3" s="8" t="inlineStr">
        <is>
          <t>CG1</t>
        </is>
      </c>
      <c r="AR3" s="8" t="inlineStr">
        <is>
          <t>CG4</t>
        </is>
      </c>
    </row>
    <row r="4" ht="8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10" t="inlineStr">
        <is>
          <t>CL1, RA1</t>
        </is>
      </c>
      <c r="K4" s="10" t="inlineStr">
        <is>
          <t>CL1, RA2</t>
        </is>
      </c>
      <c r="L4" s="10" t="inlineStr">
        <is>
          <t>CL1, N1, RA1</t>
        </is>
      </c>
      <c r="M4" s="10" t="inlineStr">
        <is>
          <t>CL1, N1, RA2</t>
        </is>
      </c>
      <c r="N4" s="10" t="inlineStr">
        <is>
          <t>CL1, N2, RA1</t>
        </is>
      </c>
      <c r="O4" s="10" t="inlineStr">
        <is>
          <t>CL1, N2, RA2</t>
        </is>
      </c>
      <c r="P4" s="10" t="inlineStr">
        <is>
          <t>CL2, RA1</t>
        </is>
      </c>
      <c r="Q4" s="10" t="inlineStr">
        <is>
          <t>CL2, N1, RA1</t>
        </is>
      </c>
      <c r="R4" s="10" t="inlineStr">
        <is>
          <t>CL2, N2, RA1</t>
        </is>
      </c>
      <c r="S4" s="10" t="inlineStr">
        <is>
          <t>CL2, N2, RA2</t>
        </is>
      </c>
      <c r="T4" s="11" t="inlineStr">
        <is>
          <t>CE1, RA1</t>
        </is>
      </c>
      <c r="U4" s="11" t="inlineStr">
        <is>
          <t>CE1, RA3</t>
        </is>
      </c>
      <c r="V4" s="11" t="inlineStr">
        <is>
          <t>CE1, N1, RA2</t>
        </is>
      </c>
      <c r="W4" s="11" t="inlineStr">
        <is>
          <t>CE1, N1, RA3</t>
        </is>
      </c>
      <c r="X4" s="11" t="inlineStr">
        <is>
          <t>CE1, N1, RA4</t>
        </is>
      </c>
      <c r="Y4" s="11" t="inlineStr">
        <is>
          <t>CE1, N2, RA1</t>
        </is>
      </c>
      <c r="Z4" s="11" t="inlineStr">
        <is>
          <t>CE1, N2, RA3</t>
        </is>
      </c>
      <c r="AA4" s="11" t="inlineStr">
        <is>
          <t>CE1, N2, RA4</t>
        </is>
      </c>
      <c r="AB4" s="11" t="inlineStr">
        <is>
          <t>CE1, N2, RA5</t>
        </is>
      </c>
      <c r="AC4" s="11" t="inlineStr">
        <is>
          <t>CE1, N2, RA6</t>
        </is>
      </c>
      <c r="AD4" s="11" t="inlineStr">
        <is>
          <t>CE1, N3, RA1</t>
        </is>
      </c>
      <c r="AE4" s="11" t="inlineStr">
        <is>
          <t>CE1, N3, RA2</t>
        </is>
      </c>
      <c r="AF4" s="11" t="inlineStr">
        <is>
          <t>CE1, N3, RA3</t>
        </is>
      </c>
      <c r="AG4" s="11" t="inlineStr">
        <is>
          <t>CE2, N1, RA2</t>
        </is>
      </c>
      <c r="AH4" s="11" t="inlineStr">
        <is>
          <t>CE2, N1, RA4</t>
        </is>
      </c>
      <c r="AI4" s="11" t="inlineStr">
        <is>
          <t>CE2, N2, RA1</t>
        </is>
      </c>
      <c r="AJ4" s="11" t="inlineStr">
        <is>
          <t>CE2, N2, RA3</t>
        </is>
      </c>
      <c r="AK4" s="11" t="inlineStr">
        <is>
          <t>CE2, N3, RA1</t>
        </is>
      </c>
      <c r="AL4" s="11" t="inlineStr">
        <is>
          <t>CE2, N3, RA2</t>
        </is>
      </c>
      <c r="AM4" s="11" t="inlineStr">
        <is>
          <t>CE2, N3, RA3</t>
        </is>
      </c>
      <c r="AN4" s="11" t="inlineStr">
        <is>
          <t>CE2, N3, RA4</t>
        </is>
      </c>
      <c r="AO4" s="11" t="inlineStr">
        <is>
          <t>CE2, N3, RA5</t>
        </is>
      </c>
      <c r="AP4" s="11" t="inlineStr">
        <is>
          <t>CE2, N3, RA6</t>
        </is>
      </c>
      <c r="AQ4" s="12" t="inlineStr">
        <is>
          <t>CG1, N2, RA2</t>
        </is>
      </c>
      <c r="AR4" s="12" t="inlineStr">
        <is>
          <t>CG4, N2, RA1</t>
        </is>
      </c>
    </row>
    <row r="5" ht="16" customHeight="1">
      <c r="A5" s="13" t="inlineStr"/>
      <c r="B5" s="13" t="inlineStr"/>
      <c r="C5" s="13" t="inlineStr"/>
      <c r="D5" s="14" t="inlineStr">
        <is>
          <t>Subtotales por RA →</t>
        </is>
      </c>
      <c r="E5" s="13" t="inlineStr"/>
      <c r="F5" s="13" t="inlineStr"/>
      <c r="G5" s="13" t="inlineStr"/>
      <c r="H5" s="13" t="inlineStr"/>
      <c r="I5" s="13" t="inlineStr"/>
      <c r="J5" s="2">
        <f>COUNTIF(J6:J57,"X")</f>
        <v/>
      </c>
      <c r="K5" s="2">
        <f>COUNTIF(K6:K57,"X")</f>
        <v/>
      </c>
      <c r="L5" s="2">
        <f>COUNTIF(L6:L57,"X")</f>
        <v/>
      </c>
      <c r="M5" s="2">
        <f>COUNTIF(M6:M57,"X")</f>
        <v/>
      </c>
      <c r="N5" s="2">
        <f>COUNTIF(N6:N57,"X")</f>
        <v/>
      </c>
      <c r="O5" s="2">
        <f>COUNTIF(O6:O57,"X")</f>
        <v/>
      </c>
      <c r="P5" s="2">
        <f>COUNTIF(P6:P57,"X")</f>
        <v/>
      </c>
      <c r="Q5" s="2">
        <f>COUNTIF(Q6:Q57,"X")</f>
        <v/>
      </c>
      <c r="R5" s="2">
        <f>COUNTIF(R6:R57,"X")</f>
        <v/>
      </c>
      <c r="S5" s="2">
        <f>COUNTIF(S6:S57,"X")</f>
        <v/>
      </c>
      <c r="T5" s="2">
        <f>COUNTIF(T6:T57,"X")</f>
        <v/>
      </c>
      <c r="U5" s="2">
        <f>COUNTIF(U6:U57,"X")</f>
        <v/>
      </c>
      <c r="V5" s="2">
        <f>COUNTIF(V6:V57,"X")</f>
        <v/>
      </c>
      <c r="W5" s="2">
        <f>COUNTIF(W6:W57,"X")</f>
        <v/>
      </c>
      <c r="X5" s="2">
        <f>COUNTIF(X6:X57,"X")</f>
        <v/>
      </c>
      <c r="Y5" s="2">
        <f>COUNTIF(Y6:Y57,"X")</f>
        <v/>
      </c>
      <c r="Z5" s="2">
        <f>COUNTIF(Z6:Z57,"X")</f>
        <v/>
      </c>
      <c r="AA5" s="2">
        <f>COUNTIF(AA6:AA57,"X")</f>
        <v/>
      </c>
      <c r="AB5" s="2">
        <f>COUNTIF(AB6:AB57,"X")</f>
        <v/>
      </c>
      <c r="AC5" s="2">
        <f>COUNTIF(AC6:AC57,"X")</f>
        <v/>
      </c>
      <c r="AD5" s="2">
        <f>COUNTIF(AD6:AD57,"X")</f>
        <v/>
      </c>
      <c r="AE5" s="2">
        <f>COUNTIF(AE6:AE57,"X")</f>
        <v/>
      </c>
      <c r="AF5" s="2">
        <f>COUNTIF(AF6:AF57,"X")</f>
        <v/>
      </c>
      <c r="AG5" s="2">
        <f>COUNTIF(AG6:AG57,"X")</f>
        <v/>
      </c>
      <c r="AH5" s="2">
        <f>COUNTIF(AH6:AH57,"X")</f>
        <v/>
      </c>
      <c r="AI5" s="2">
        <f>COUNTIF(AI6:AI57,"X")</f>
        <v/>
      </c>
      <c r="AJ5" s="2">
        <f>COUNTIF(AJ6:AJ57,"X")</f>
        <v/>
      </c>
      <c r="AK5" s="2">
        <f>COUNTIF(AK6:AK57,"X")</f>
        <v/>
      </c>
      <c r="AL5" s="2">
        <f>COUNTIF(AL6:AL57,"X")</f>
        <v/>
      </c>
      <c r="AM5" s="2">
        <f>COUNTIF(AM6:AM57,"X")</f>
        <v/>
      </c>
      <c r="AN5" s="2">
        <f>COUNTIF(AN6:AN57,"X")</f>
        <v/>
      </c>
      <c r="AO5" s="2">
        <f>COUNTIF(AO6:AO57,"X")</f>
        <v/>
      </c>
      <c r="AP5" s="2">
        <f>COUNTIF(AP6:AP57,"X")</f>
        <v/>
      </c>
      <c r="AQ5" s="2">
        <f>COUNTIF(AQ6:AQ57,"X")</f>
        <v/>
      </c>
      <c r="AR5" s="2">
        <f>COUNTIF(AR6:AR57,"X")</f>
        <v/>
      </c>
    </row>
    <row r="6" ht="18" customHeight="1">
      <c r="A6" s="15" t="inlineStr">
        <is>
          <t>N1</t>
        </is>
      </c>
      <c r="B6" s="16" t="n">
        <v>1</v>
      </c>
      <c r="C6" s="17" t="inlineStr">
        <is>
          <t>CFG 111</t>
        </is>
      </c>
      <c r="D6" s="18" t="inlineStr">
        <is>
          <t>Desarrollo Personal</t>
        </is>
      </c>
      <c r="E6" s="13" t="n"/>
      <c r="F6" s="17">
        <f>SUM(G6:I6)</f>
        <v/>
      </c>
      <c r="G6" s="19">
        <f>COUNTIF(J6:S6,"X")</f>
        <v/>
      </c>
      <c r="H6" s="19">
        <f>COUNTIF(T6:AP6,"X")</f>
        <v/>
      </c>
      <c r="I6" s="19">
        <f>COUNTIF(AQ6:AR6,"X")</f>
        <v/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</row>
    <row r="7" ht="18" customHeight="1">
      <c r="C7" s="17" t="inlineStr">
        <is>
          <t>ING 111</t>
        </is>
      </c>
      <c r="D7" s="18" t="inlineStr">
        <is>
          <t>Desafíos de Ingeniería</t>
        </is>
      </c>
      <c r="E7" s="13" t="n"/>
      <c r="F7" s="17">
        <f>SUM(G7:I7)</f>
        <v/>
      </c>
      <c r="G7" s="19">
        <f>COUNTIF(J7:S7,"X")</f>
        <v/>
      </c>
      <c r="H7" s="19">
        <f>COUNTIF(T7:AP7,"X")</f>
        <v/>
      </c>
      <c r="I7" s="19">
        <f>COUNTIF(AQ7:AR7,"X")</f>
        <v/>
      </c>
      <c r="J7" s="9" t="n"/>
      <c r="K7" s="9" t="n"/>
      <c r="L7" s="20" t="inlineStr">
        <is>
          <t>X</t>
        </is>
      </c>
      <c r="M7" s="20" t="inlineStr">
        <is>
          <t>X</t>
        </is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</row>
    <row r="8" ht="18" customHeight="1">
      <c r="C8" s="17" t="inlineStr">
        <is>
          <t>MAT 111</t>
        </is>
      </c>
      <c r="D8" s="18" t="inlineStr">
        <is>
          <t>Fundamentos de Matemática</t>
        </is>
      </c>
      <c r="E8" s="13" t="n"/>
      <c r="F8" s="17">
        <f>SUM(G8:I8)</f>
        <v/>
      </c>
      <c r="G8" s="19">
        <f>COUNTIF(J8:S8,"X")</f>
        <v/>
      </c>
      <c r="H8" s="19">
        <f>COUNTIF(T8:AP8,"X")</f>
        <v/>
      </c>
      <c r="I8" s="19">
        <f>COUNTIF(AQ8:AR8,"X")</f>
        <v/>
      </c>
      <c r="J8" s="20" t="inlineStr">
        <is>
          <t>X</t>
        </is>
      </c>
      <c r="K8" s="20" t="inlineStr">
        <is>
          <t>X</t>
        </is>
      </c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</row>
    <row r="9" ht="18" customHeight="1">
      <c r="C9" s="17" t="inlineStr">
        <is>
          <t>PRO 111</t>
        </is>
      </c>
      <c r="D9" s="18" t="inlineStr">
        <is>
          <t>Fundamentos de Programación</t>
        </is>
      </c>
      <c r="E9" s="13" t="n"/>
      <c r="F9" s="17">
        <f>SUM(G9:I9)</f>
        <v/>
      </c>
      <c r="G9" s="19">
        <f>COUNTIF(J9:S9,"X")</f>
        <v/>
      </c>
      <c r="H9" s="19">
        <f>COUNTIF(T9:AP9,"X")</f>
        <v/>
      </c>
      <c r="I9" s="19">
        <f>COUNTIF(AQ9:AR9,"X")</f>
        <v/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 ht="18" customHeight="1">
      <c r="C10" s="17" t="inlineStr">
        <is>
          <t>QUI 121</t>
        </is>
      </c>
      <c r="D10" s="18" t="inlineStr">
        <is>
          <t>Química para Ingeniería</t>
        </is>
      </c>
      <c r="E10" s="13" t="n"/>
      <c r="F10" s="17">
        <f>SUM(G10:I10)</f>
        <v/>
      </c>
      <c r="G10" s="19">
        <f>COUNTIF(J10:S10,"X")</f>
        <v/>
      </c>
      <c r="H10" s="19">
        <f>COUNTIF(T10:AP10,"X")</f>
        <v/>
      </c>
      <c r="I10" s="19">
        <f>COUNTIF(AQ10:AR10,"X")</f>
        <v/>
      </c>
      <c r="J10" s="20" t="inlineStr">
        <is>
          <t>X</t>
        </is>
      </c>
      <c r="K10" s="20" t="inlineStr">
        <is>
          <t>X</t>
        </is>
      </c>
      <c r="L10" s="9" t="n"/>
      <c r="M10" s="9" t="n"/>
      <c r="N10" s="9" t="n"/>
      <c r="O10" s="9" t="n"/>
      <c r="P10" s="20" t="inlineStr">
        <is>
          <t>X</t>
        </is>
      </c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</row>
    <row r="11" ht="18" customHeight="1">
      <c r="A11" s="15" t="inlineStr">
        <is>
          <t>N1</t>
        </is>
      </c>
      <c r="B11" s="16" t="n">
        <v>2</v>
      </c>
      <c r="C11" s="17" t="inlineStr">
        <is>
          <t>FIS 111</t>
        </is>
      </c>
      <c r="D11" s="18" t="inlineStr">
        <is>
          <t>Fundamentos de Física</t>
        </is>
      </c>
      <c r="E11" s="13" t="n"/>
      <c r="F11" s="17">
        <f>SUM(G11:I11)</f>
        <v/>
      </c>
      <c r="G11" s="19">
        <f>COUNTIF(J11:S11,"X")</f>
        <v/>
      </c>
      <c r="H11" s="19">
        <f>COUNTIF(T11:AP11,"X")</f>
        <v/>
      </c>
      <c r="I11" s="19">
        <f>COUNTIF(AQ11:AR11,"X")</f>
        <v/>
      </c>
      <c r="J11" s="20" t="inlineStr">
        <is>
          <t>X</t>
        </is>
      </c>
      <c r="K11" s="20" t="inlineStr">
        <is>
          <t>X</t>
        </is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</row>
    <row r="12" ht="18" customHeight="1">
      <c r="C12" s="17" t="inlineStr">
        <is>
          <t>ING 121</t>
        </is>
      </c>
      <c r="D12" s="18" t="inlineStr">
        <is>
          <t>Ingeniería, Innovación y Emprendimiento.</t>
        </is>
      </c>
      <c r="E12" s="13" t="n"/>
      <c r="F12" s="17">
        <f>SUM(G12:I12)</f>
        <v/>
      </c>
      <c r="G12" s="19">
        <f>COUNTIF(J12:S12,"X")</f>
        <v/>
      </c>
      <c r="H12" s="19">
        <f>COUNTIF(T12:AP12,"X")</f>
        <v/>
      </c>
      <c r="I12" s="19">
        <f>COUNTIF(AQ12:AR12,"X")</f>
        <v/>
      </c>
      <c r="J12" s="9" t="n"/>
      <c r="K12" s="9" t="n"/>
      <c r="L12" s="20" t="inlineStr">
        <is>
          <t>X</t>
        </is>
      </c>
      <c r="M12" s="9" t="n"/>
      <c r="N12" s="9" t="n"/>
      <c r="O12" s="9" t="n"/>
      <c r="P12" s="9" t="n"/>
      <c r="Q12" s="20" t="inlineStr">
        <is>
          <t>X</t>
        </is>
      </c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</row>
    <row r="13" ht="18" customHeight="1">
      <c r="C13" s="17" t="inlineStr">
        <is>
          <t>MAT 121</t>
        </is>
      </c>
      <c r="D13" s="18" t="inlineStr">
        <is>
          <t>Cálculo Diferencial</t>
        </is>
      </c>
      <c r="E13" s="13" t="n"/>
      <c r="F13" s="17">
        <f>SUM(G13:I13)</f>
        <v/>
      </c>
      <c r="G13" s="19">
        <f>COUNTIF(J13:S13,"X")</f>
        <v/>
      </c>
      <c r="H13" s="19">
        <f>COUNTIF(T13:AP13,"X")</f>
        <v/>
      </c>
      <c r="I13" s="19">
        <f>COUNTIF(AQ13:AR13,"X")</f>
        <v/>
      </c>
      <c r="J13" s="9" t="n"/>
      <c r="K13" s="9" t="n"/>
      <c r="L13" s="20" t="inlineStr">
        <is>
          <t>X</t>
        </is>
      </c>
      <c r="M13" s="20" t="inlineStr">
        <is>
          <t>X</t>
        </is>
      </c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</row>
    <row r="14" ht="18" customHeight="1">
      <c r="C14" s="17" t="inlineStr">
        <is>
          <t>MAT 122</t>
        </is>
      </c>
      <c r="D14" s="18" t="inlineStr">
        <is>
          <t>Álgebra</t>
        </is>
      </c>
      <c r="E14" s="13" t="n"/>
      <c r="F14" s="17">
        <f>SUM(G14:I14)</f>
        <v/>
      </c>
      <c r="G14" s="19">
        <f>COUNTIF(J14:S14,"X")</f>
        <v/>
      </c>
      <c r="H14" s="19">
        <f>COUNTIF(T14:AP14,"X")</f>
        <v/>
      </c>
      <c r="I14" s="19">
        <f>COUNTIF(AQ14:AR14,"X")</f>
        <v/>
      </c>
      <c r="J14" s="9" t="n"/>
      <c r="K14" s="9" t="n"/>
      <c r="L14" s="20" t="inlineStr">
        <is>
          <t>X</t>
        </is>
      </c>
      <c r="M14" s="20" t="inlineStr">
        <is>
          <t>X</t>
        </is>
      </c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</row>
    <row r="15" ht="18" customHeight="1">
      <c r="C15" s="17" t="inlineStr">
        <is>
          <t>PRO 121</t>
        </is>
      </c>
      <c r="D15" s="18" t="inlineStr">
        <is>
          <t>Programación</t>
        </is>
      </c>
      <c r="E15" s="13" t="n"/>
      <c r="F15" s="17">
        <f>SUM(G15:I15)</f>
        <v/>
      </c>
      <c r="G15" s="19">
        <f>COUNTIF(J15:S15,"X")</f>
        <v/>
      </c>
      <c r="H15" s="19">
        <f>COUNTIF(T15:AP15,"X")</f>
        <v/>
      </c>
      <c r="I15" s="19">
        <f>COUNTIF(AQ15:AR15,"X")</f>
        <v/>
      </c>
      <c r="J15" s="9" t="n"/>
      <c r="K15" s="9" t="n"/>
      <c r="L15" s="20" t="inlineStr">
        <is>
          <t>X</t>
        </is>
      </c>
      <c r="M15" s="20" t="inlineStr">
        <is>
          <t>X</t>
        </is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</row>
    <row r="16" ht="18" customHeight="1">
      <c r="A16" s="15" t="inlineStr">
        <is>
          <t>N1</t>
        </is>
      </c>
      <c r="B16" s="16" t="n">
        <v>3</v>
      </c>
      <c r="C16" s="17" t="inlineStr">
        <is>
          <t>FIS 211</t>
        </is>
      </c>
      <c r="D16" s="18" t="inlineStr">
        <is>
          <t>Física Mecánica</t>
        </is>
      </c>
      <c r="E16" s="13" t="n"/>
      <c r="F16" s="17">
        <f>SUM(G16:I16)</f>
        <v/>
      </c>
      <c r="G16" s="19">
        <f>COUNTIF(J16:S16,"X")</f>
        <v/>
      </c>
      <c r="H16" s="19">
        <f>COUNTIF(T16:AP16,"X")</f>
        <v/>
      </c>
      <c r="I16" s="19">
        <f>COUNTIF(AQ16:AR16,"X")</f>
        <v/>
      </c>
      <c r="J16" s="9" t="n"/>
      <c r="K16" s="9" t="n"/>
      <c r="L16" s="20" t="inlineStr">
        <is>
          <t>X</t>
        </is>
      </c>
      <c r="M16" s="20" t="inlineStr">
        <is>
          <t>X</t>
        </is>
      </c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</row>
    <row r="17" ht="18" customHeight="1">
      <c r="C17" s="17" t="inlineStr">
        <is>
          <t>IMAT 221</t>
        </is>
      </c>
      <c r="D17" s="18" t="inlineStr">
        <is>
          <t>Taller de Deducción Matemática</t>
        </is>
      </c>
      <c r="E17" s="13" t="n"/>
      <c r="F17" s="17">
        <f>SUM(G17:I17)</f>
        <v/>
      </c>
      <c r="G17" s="19">
        <f>COUNTIF(J17:S17,"X")</f>
        <v/>
      </c>
      <c r="H17" s="19">
        <f>COUNTIF(T17:AP17,"X")</f>
        <v/>
      </c>
      <c r="I17" s="19">
        <f>COUNTIF(AQ17:AR17,"X")</f>
        <v/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21" t="inlineStr">
        <is>
          <t>X</t>
        </is>
      </c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</row>
    <row r="18" ht="18" customHeight="1">
      <c r="C18" s="17" t="inlineStr">
        <is>
          <t>IMAT211</t>
        </is>
      </c>
      <c r="D18" s="18" t="inlineStr">
        <is>
          <t>Programación para Ingeniería</t>
        </is>
      </c>
      <c r="E18" s="13" t="n"/>
      <c r="F18" s="17">
        <f>SUM(G18:I18)</f>
        <v/>
      </c>
      <c r="G18" s="19">
        <f>COUNTIF(J18:S18,"X")</f>
        <v/>
      </c>
      <c r="H18" s="19">
        <f>COUNTIF(T18:AP18,"X")</f>
        <v/>
      </c>
      <c r="I18" s="19">
        <f>COUNTIF(AQ18:AR18,"X")</f>
        <v/>
      </c>
      <c r="J18" s="9" t="n"/>
      <c r="K18" s="9" t="n"/>
      <c r="L18" s="20" t="inlineStr">
        <is>
          <t>X</t>
        </is>
      </c>
      <c r="M18" s="20" t="inlineStr">
        <is>
          <t>X</t>
        </is>
      </c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</row>
    <row r="19" ht="18" customHeight="1">
      <c r="C19" s="17" t="inlineStr">
        <is>
          <t>MAT 211</t>
        </is>
      </c>
      <c r="D19" s="18" t="inlineStr">
        <is>
          <t>Cálculo Integral y Series</t>
        </is>
      </c>
      <c r="E19" s="13" t="n"/>
      <c r="F19" s="17">
        <f>SUM(G19:I19)</f>
        <v/>
      </c>
      <c r="G19" s="19">
        <f>COUNTIF(J19:S19,"X")</f>
        <v/>
      </c>
      <c r="H19" s="19">
        <f>COUNTIF(T19:AP19,"X")</f>
        <v/>
      </c>
      <c r="I19" s="19">
        <f>COUNTIF(AQ19:AR19,"X")</f>
        <v/>
      </c>
      <c r="J19" s="9" t="n"/>
      <c r="K19" s="9" t="n"/>
      <c r="L19" s="20" t="inlineStr">
        <is>
          <t>X</t>
        </is>
      </c>
      <c r="M19" s="20" t="inlineStr">
        <is>
          <t>X</t>
        </is>
      </c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</row>
    <row r="20" ht="18" customHeight="1">
      <c r="C20" s="17" t="inlineStr">
        <is>
          <t>MAT 212</t>
        </is>
      </c>
      <c r="D20" s="18" t="inlineStr">
        <is>
          <t>Álgebra Lineal</t>
        </is>
      </c>
      <c r="E20" s="13" t="n"/>
      <c r="F20" s="17">
        <f>SUM(G20:I20)</f>
        <v/>
      </c>
      <c r="G20" s="19">
        <f>COUNTIF(J20:S20,"X")</f>
        <v/>
      </c>
      <c r="H20" s="19">
        <f>COUNTIF(T20:AP20,"X")</f>
        <v/>
      </c>
      <c r="I20" s="19">
        <f>COUNTIF(AQ20:AR20,"X")</f>
        <v/>
      </c>
      <c r="J20" s="9" t="n"/>
      <c r="K20" s="9" t="n"/>
      <c r="L20" s="20" t="inlineStr">
        <is>
          <t>X</t>
        </is>
      </c>
      <c r="M20" s="20" t="inlineStr">
        <is>
          <t>X</t>
        </is>
      </c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</row>
    <row r="21" ht="18" customHeight="1">
      <c r="A21" s="15" t="inlineStr">
        <is>
          <t>N1</t>
        </is>
      </c>
      <c r="B21" s="16" t="n">
        <v>4</v>
      </c>
      <c r="C21" s="17" t="inlineStr">
        <is>
          <t>FIS 221</t>
        </is>
      </c>
      <c r="D21" s="18" t="inlineStr">
        <is>
          <t>Física Calor y Ondas</t>
        </is>
      </c>
      <c r="E21" s="13" t="n"/>
      <c r="F21" s="17">
        <f>SUM(G21:I21)</f>
        <v/>
      </c>
      <c r="G21" s="19">
        <f>COUNTIF(J21:S21,"X")</f>
        <v/>
      </c>
      <c r="H21" s="19">
        <f>COUNTIF(T21:AP21,"X")</f>
        <v/>
      </c>
      <c r="I21" s="19">
        <f>COUNTIF(AQ21:AR21,"X")</f>
        <v/>
      </c>
      <c r="J21" s="20" t="inlineStr">
        <is>
          <t>X</t>
        </is>
      </c>
      <c r="K21" s="20" t="inlineStr">
        <is>
          <t>X</t>
        </is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</row>
    <row r="22" ht="18" customHeight="1">
      <c r="C22" s="17" t="inlineStr">
        <is>
          <t>IMAT 212</t>
        </is>
      </c>
      <c r="D22" s="18" t="inlineStr"/>
      <c r="E22" s="13" t="n"/>
      <c r="F22" s="17">
        <f>SUM(G22:I22)</f>
        <v/>
      </c>
      <c r="G22" s="19">
        <f>COUNTIF(J22:S22,"X")</f>
        <v/>
      </c>
      <c r="H22" s="19">
        <f>COUNTIF(T22:AP22,"X")</f>
        <v/>
      </c>
      <c r="I22" s="19">
        <f>COUNTIF(AQ22:AR22,"X")</f>
        <v/>
      </c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</row>
    <row r="23" ht="18" customHeight="1">
      <c r="C23" s="17" t="inlineStr">
        <is>
          <t>IMAT 223</t>
        </is>
      </c>
      <c r="D23" s="18" t="inlineStr">
        <is>
          <t>Idioma I</t>
        </is>
      </c>
      <c r="E23" s="13" t="n"/>
      <c r="F23" s="17">
        <f>SUM(G23:I23)</f>
        <v/>
      </c>
      <c r="G23" s="19">
        <f>COUNTIF(J23:S23,"X")</f>
        <v/>
      </c>
      <c r="H23" s="19">
        <f>COUNTIF(T23:AP23,"X")</f>
        <v/>
      </c>
      <c r="I23" s="19">
        <f>COUNTIF(AQ23:AR23,"X")</f>
        <v/>
      </c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</row>
    <row r="24" ht="18" customHeight="1">
      <c r="C24" s="17" t="inlineStr">
        <is>
          <t>IMAT314</t>
        </is>
      </c>
      <c r="D24" s="18" t="inlineStr">
        <is>
          <t>Estructuras Algebraicas</t>
        </is>
      </c>
      <c r="E24" s="13" t="n"/>
      <c r="F24" s="17">
        <f>SUM(G24:I24)</f>
        <v/>
      </c>
      <c r="G24" s="19">
        <f>COUNTIF(J24:S24,"X")</f>
        <v/>
      </c>
      <c r="H24" s="19">
        <f>COUNTIF(T24:AP24,"X")</f>
        <v/>
      </c>
      <c r="I24" s="19">
        <f>COUNTIF(AQ24:AR24,"X")</f>
        <v/>
      </c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21" t="inlineStr">
        <is>
          <t>X</t>
        </is>
      </c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</row>
    <row r="25" ht="18" customHeight="1">
      <c r="C25" s="17" t="inlineStr">
        <is>
          <t>MAT 221</t>
        </is>
      </c>
      <c r="D25" s="18" t="inlineStr">
        <is>
          <t>Cálculo en Varias Variables</t>
        </is>
      </c>
      <c r="E25" s="13" t="n"/>
      <c r="F25" s="17">
        <f>SUM(G25:I25)</f>
        <v/>
      </c>
      <c r="G25" s="19">
        <f>COUNTIF(J25:S25,"X")</f>
        <v/>
      </c>
      <c r="H25" s="19">
        <f>COUNTIF(T25:AP25,"X")</f>
        <v/>
      </c>
      <c r="I25" s="19">
        <f>COUNTIF(AQ25:AR25,"X")</f>
        <v/>
      </c>
      <c r="J25" s="9" t="n"/>
      <c r="K25" s="9" t="n"/>
      <c r="L25" s="20" t="inlineStr">
        <is>
          <t>X</t>
        </is>
      </c>
      <c r="M25" s="20" t="inlineStr">
        <is>
          <t>X</t>
        </is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</row>
    <row r="26" ht="18" customHeight="1">
      <c r="C26" s="17" t="inlineStr">
        <is>
          <t>MAT 222</t>
        </is>
      </c>
      <c r="D26" s="18" t="inlineStr">
        <is>
          <t>Ecuaciones Diferenciales Ordinarias</t>
        </is>
      </c>
      <c r="E26" s="13" t="n"/>
      <c r="F26" s="17">
        <f>SUM(G26:I26)</f>
        <v/>
      </c>
      <c r="G26" s="19">
        <f>COUNTIF(J26:S26,"X")</f>
        <v/>
      </c>
      <c r="H26" s="19">
        <f>COUNTIF(T26:AP26,"X")</f>
        <v/>
      </c>
      <c r="I26" s="19">
        <f>COUNTIF(AQ26:AR26,"X")</f>
        <v/>
      </c>
      <c r="J26" s="9" t="n"/>
      <c r="K26" s="9" t="n"/>
      <c r="L26" s="20" t="inlineStr">
        <is>
          <t>X</t>
        </is>
      </c>
      <c r="M26" s="20" t="inlineStr">
        <is>
          <t>X</t>
        </is>
      </c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</row>
    <row r="27" ht="18" customHeight="1">
      <c r="A27" s="15" t="inlineStr">
        <is>
          <t>N2</t>
        </is>
      </c>
      <c r="B27" s="16" t="n">
        <v>5</v>
      </c>
      <c r="C27" s="17" t="inlineStr">
        <is>
          <t>FIS 311</t>
        </is>
      </c>
      <c r="D27" s="18" t="inlineStr">
        <is>
          <t>Física Electromagnetismo</t>
        </is>
      </c>
      <c r="E27" s="13" t="n"/>
      <c r="F27" s="17">
        <f>SUM(G27:I27)</f>
        <v/>
      </c>
      <c r="G27" s="19">
        <f>COUNTIF(J27:S27,"X")</f>
        <v/>
      </c>
      <c r="H27" s="19">
        <f>COUNTIF(T27:AP27,"X")</f>
        <v/>
      </c>
      <c r="I27" s="19">
        <f>COUNTIF(AQ27:AR27,"X")</f>
        <v/>
      </c>
      <c r="J27" s="9" t="n"/>
      <c r="K27" s="9" t="n"/>
      <c r="L27" s="9" t="n"/>
      <c r="M27" s="9" t="n"/>
      <c r="N27" s="20" t="inlineStr">
        <is>
          <t>X</t>
        </is>
      </c>
      <c r="O27" s="20" t="inlineStr">
        <is>
          <t>X</t>
        </is>
      </c>
      <c r="P27" s="9" t="n"/>
      <c r="Q27" s="9" t="n"/>
      <c r="R27" s="20" t="inlineStr">
        <is>
          <t>X</t>
        </is>
      </c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</row>
    <row r="28" ht="18" customHeight="1">
      <c r="C28" s="17" t="inlineStr">
        <is>
          <t>IMAT 311</t>
        </is>
      </c>
      <c r="D28" s="18" t="inlineStr">
        <is>
          <t>Cálculo Avanzado</t>
        </is>
      </c>
      <c r="E28" s="13" t="n"/>
      <c r="F28" s="17">
        <f>SUM(G28:I28)</f>
        <v/>
      </c>
      <c r="G28" s="19">
        <f>COUNTIF(J28:S28,"X")</f>
        <v/>
      </c>
      <c r="H28" s="19">
        <f>COUNTIF(T28:AP28,"X")</f>
        <v/>
      </c>
      <c r="I28" s="19">
        <f>COUNTIF(AQ28:AR28,"X")</f>
        <v/>
      </c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21" t="inlineStr">
        <is>
          <t>X</t>
        </is>
      </c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</row>
    <row r="29" ht="18" customHeight="1">
      <c r="C29" s="17" t="inlineStr">
        <is>
          <t>IMAT 312</t>
        </is>
      </c>
      <c r="D29" s="18" t="inlineStr">
        <is>
          <t>Métodos Numéricos</t>
        </is>
      </c>
      <c r="E29" s="13" t="n"/>
      <c r="F29" s="17">
        <f>SUM(G29:I29)</f>
        <v/>
      </c>
      <c r="G29" s="19">
        <f>COUNTIF(J29:S29,"X")</f>
        <v/>
      </c>
      <c r="H29" s="19">
        <f>COUNTIF(T29:AP29,"X")</f>
        <v/>
      </c>
      <c r="I29" s="19">
        <f>COUNTIF(AQ29:AR29,"X")</f>
        <v/>
      </c>
      <c r="J29" s="9" t="n"/>
      <c r="K29" s="9" t="n"/>
      <c r="L29" s="9" t="n"/>
      <c r="M29" s="9" t="n"/>
      <c r="N29" s="20" t="inlineStr">
        <is>
          <t>X</t>
        </is>
      </c>
      <c r="O29" s="20" t="inlineStr">
        <is>
          <t>X</t>
        </is>
      </c>
      <c r="P29" s="9" t="n"/>
      <c r="Q29" s="9" t="n"/>
      <c r="R29" s="20" t="inlineStr">
        <is>
          <t>X</t>
        </is>
      </c>
      <c r="S29" s="20" t="inlineStr">
        <is>
          <t>X</t>
        </is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21" t="inlineStr">
        <is>
          <t>X</t>
        </is>
      </c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</row>
    <row r="30" ht="18" customHeight="1">
      <c r="C30" s="17" t="inlineStr">
        <is>
          <t>IMAT222</t>
        </is>
      </c>
      <c r="D30" s="18" t="inlineStr">
        <is>
          <t>Evaluación de Proyectos</t>
        </is>
      </c>
      <c r="E30" s="13" t="n"/>
      <c r="F30" s="17">
        <f>SUM(G30:I30)</f>
        <v/>
      </c>
      <c r="G30" s="19">
        <f>COUNTIF(J30:S30,"X")</f>
        <v/>
      </c>
      <c r="H30" s="19">
        <f>COUNTIF(T30:AP30,"X")</f>
        <v/>
      </c>
      <c r="I30" s="19">
        <f>COUNTIF(AQ30:AR30,"X")</f>
        <v/>
      </c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</row>
    <row r="31" ht="18" customHeight="1">
      <c r="C31" s="17" t="inlineStr">
        <is>
          <t>IMAT321</t>
        </is>
      </c>
      <c r="D31" s="18" t="inlineStr">
        <is>
          <t>Análisis</t>
        </is>
      </c>
      <c r="E31" s="13" t="n"/>
      <c r="F31" s="17">
        <f>SUM(G31:I31)</f>
        <v/>
      </c>
      <c r="G31" s="19">
        <f>COUNTIF(J31:S31,"X")</f>
        <v/>
      </c>
      <c r="H31" s="19">
        <f>COUNTIF(T31:AP31,"X")</f>
        <v/>
      </c>
      <c r="I31" s="19">
        <f>COUNTIF(AQ31:AR31,"X")</f>
        <v/>
      </c>
      <c r="J31" s="9" t="n"/>
      <c r="K31" s="9" t="n"/>
      <c r="L31" s="9" t="n"/>
      <c r="M31" s="9" t="n"/>
      <c r="N31" s="9" t="n"/>
      <c r="O31" s="9" t="n"/>
      <c r="P31" s="9" t="n"/>
      <c r="Q31" s="9" t="n"/>
      <c r="R31" s="20" t="inlineStr">
        <is>
          <t>X</t>
        </is>
      </c>
      <c r="S31" s="20" t="inlineStr">
        <is>
          <t>X</t>
        </is>
      </c>
      <c r="T31" s="9" t="n"/>
      <c r="U31" s="9" t="n"/>
      <c r="V31" s="9" t="n"/>
      <c r="W31" s="9" t="n"/>
      <c r="X31" s="9" t="n"/>
      <c r="Y31" s="21" t="inlineStr">
        <is>
          <t>X</t>
        </is>
      </c>
      <c r="Z31" s="9" t="n"/>
      <c r="AA31" s="21" t="inlineStr">
        <is>
          <t>X</t>
        </is>
      </c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</row>
    <row r="32" ht="18" customHeight="1">
      <c r="C32" s="17" t="inlineStr">
        <is>
          <t>IMAT324</t>
        </is>
      </c>
      <c r="D32" s="18" t="inlineStr">
        <is>
          <t>TIPE I</t>
        </is>
      </c>
      <c r="E32" s="13" t="n"/>
      <c r="F32" s="17">
        <f>SUM(G32:I32)</f>
        <v/>
      </c>
      <c r="G32" s="19">
        <f>COUNTIF(J32:S32,"X")</f>
        <v/>
      </c>
      <c r="H32" s="19">
        <f>COUNTIF(T32:AP32,"X")</f>
        <v/>
      </c>
      <c r="I32" s="19">
        <f>COUNTIF(AQ32:AR32,"X")</f>
        <v/>
      </c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</row>
    <row r="33" ht="18" customHeight="1">
      <c r="A33" s="15" t="inlineStr">
        <is>
          <t>N2</t>
        </is>
      </c>
      <c r="B33" s="16" t="n">
        <v>6</v>
      </c>
      <c r="C33" s="17" t="inlineStr">
        <is>
          <t>IMAT 315</t>
        </is>
      </c>
      <c r="D33" s="18" t="inlineStr">
        <is>
          <t>Idioma II</t>
        </is>
      </c>
      <c r="E33" s="13" t="n"/>
      <c r="F33" s="17">
        <f>SUM(G33:I33)</f>
        <v/>
      </c>
      <c r="G33" s="19">
        <f>COUNTIF(J33:S33,"X")</f>
        <v/>
      </c>
      <c r="H33" s="19">
        <f>COUNTIF(T33:AP33,"X")</f>
        <v/>
      </c>
      <c r="I33" s="19">
        <f>COUNTIF(AQ33:AR33,"X")</f>
        <v/>
      </c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</row>
    <row r="34" ht="18" customHeight="1">
      <c r="C34" s="17" t="inlineStr">
        <is>
          <t>IMAT 411</t>
        </is>
      </c>
      <c r="D34" s="18" t="inlineStr">
        <is>
          <t>Teoría de la Medida</t>
        </is>
      </c>
      <c r="E34" s="13" t="n"/>
      <c r="F34" s="17">
        <f>SUM(G34:I34)</f>
        <v/>
      </c>
      <c r="G34" s="19">
        <f>COUNTIF(J34:S34,"X")</f>
        <v/>
      </c>
      <c r="H34" s="19">
        <f>COUNTIF(T34:AP34,"X")</f>
        <v/>
      </c>
      <c r="I34" s="19">
        <f>COUNTIF(AQ34:AR34,"X")</f>
        <v/>
      </c>
      <c r="J34" s="9" t="n"/>
      <c r="K34" s="9" t="n"/>
      <c r="L34" s="9" t="n"/>
      <c r="M34" s="9" t="n"/>
      <c r="N34" s="9" t="n"/>
      <c r="O34" s="9" t="n"/>
      <c r="P34" s="9" t="n"/>
      <c r="Q34" s="9" t="n"/>
      <c r="R34" s="20" t="inlineStr">
        <is>
          <t>X</t>
        </is>
      </c>
      <c r="S34" s="20" t="inlineStr">
        <is>
          <t>X</t>
        </is>
      </c>
      <c r="T34" s="9" t="n"/>
      <c r="U34" s="9" t="n"/>
      <c r="V34" s="9" t="n"/>
      <c r="W34" s="9" t="n"/>
      <c r="X34" s="9" t="n"/>
      <c r="Y34" s="21" t="inlineStr">
        <is>
          <t>X</t>
        </is>
      </c>
      <c r="Z34" s="9" t="n"/>
      <c r="AA34" s="21" t="inlineStr">
        <is>
          <t>X</t>
        </is>
      </c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</row>
    <row r="35" ht="18" customHeight="1">
      <c r="C35" s="17" t="inlineStr">
        <is>
          <t>IMAT 423</t>
        </is>
      </c>
      <c r="D35" s="18" t="inlineStr">
        <is>
          <t>Sistemas Dinámicos Continuos</t>
        </is>
      </c>
      <c r="E35" s="13" t="n"/>
      <c r="F35" s="17">
        <f>SUM(G35:I35)</f>
        <v/>
      </c>
      <c r="G35" s="19">
        <f>COUNTIF(J35:S35,"X")</f>
        <v/>
      </c>
      <c r="H35" s="19">
        <f>COUNTIF(T35:AP35,"X")</f>
        <v/>
      </c>
      <c r="I35" s="19">
        <f>COUNTIF(AQ35:AR35,"X")</f>
        <v/>
      </c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</row>
    <row r="36" ht="18" customHeight="1">
      <c r="C36" s="17" t="inlineStr">
        <is>
          <t>IMAT313</t>
        </is>
      </c>
      <c r="D36" s="18" t="inlineStr">
        <is>
          <t>Combinatoria y Algoritmos</t>
        </is>
      </c>
      <c r="E36" s="13" t="n"/>
      <c r="F36" s="17">
        <f>SUM(G36:I36)</f>
        <v/>
      </c>
      <c r="G36" s="19">
        <f>COUNTIF(J36:S36,"X")</f>
        <v/>
      </c>
      <c r="H36" s="19">
        <f>COUNTIF(T36:AP36,"X")</f>
        <v/>
      </c>
      <c r="I36" s="19">
        <f>COUNTIF(AQ36:AR36,"X")</f>
        <v/>
      </c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21" t="inlineStr">
        <is>
          <t>X</t>
        </is>
      </c>
      <c r="W36" s="9" t="n"/>
      <c r="X36" s="21" t="inlineStr">
        <is>
          <t>X</t>
        </is>
      </c>
      <c r="Y36" s="9" t="n"/>
      <c r="Z36" s="9" t="n"/>
      <c r="AA36" s="9" t="n"/>
      <c r="AB36" s="21" t="inlineStr">
        <is>
          <t>X</t>
        </is>
      </c>
      <c r="AC36" s="9" t="n"/>
      <c r="AD36" s="9" t="n"/>
      <c r="AE36" s="9" t="n"/>
      <c r="AF36" s="9" t="n"/>
      <c r="AG36" s="21" t="inlineStr">
        <is>
          <t>X</t>
        </is>
      </c>
      <c r="AH36" s="21" t="inlineStr">
        <is>
          <t>X</t>
        </is>
      </c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</row>
    <row r="37" ht="18" customHeight="1">
      <c r="C37" s="17" t="inlineStr">
        <is>
          <t>IMAT322</t>
        </is>
      </c>
      <c r="D37" s="18" t="inlineStr">
        <is>
          <t>Cálculo de Probabilidades</t>
        </is>
      </c>
      <c r="E37" s="13" t="n"/>
      <c r="F37" s="17">
        <f>SUM(G37:I37)</f>
        <v/>
      </c>
      <c r="G37" s="19">
        <f>COUNTIF(J37:S37,"X")</f>
        <v/>
      </c>
      <c r="H37" s="19">
        <f>COUNTIF(T37:AP37,"X")</f>
        <v/>
      </c>
      <c r="I37" s="19">
        <f>COUNTIF(AQ37:AR37,"X")</f>
        <v/>
      </c>
      <c r="J37" s="9" t="n"/>
      <c r="K37" s="9" t="n"/>
      <c r="L37" s="9" t="n"/>
      <c r="M37" s="9" t="n"/>
      <c r="N37" s="20" t="inlineStr">
        <is>
          <t>X</t>
        </is>
      </c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21" t="inlineStr">
        <is>
          <t>X</t>
        </is>
      </c>
      <c r="Z37" s="9" t="n"/>
      <c r="AA37" s="9" t="n"/>
      <c r="AB37" s="9" t="n"/>
      <c r="AC37" s="21" t="inlineStr">
        <is>
          <t>X</t>
        </is>
      </c>
      <c r="AD37" s="9" t="n"/>
      <c r="AE37" s="9" t="n"/>
      <c r="AF37" s="9" t="n"/>
      <c r="AG37" s="9" t="n"/>
      <c r="AH37" s="9" t="n"/>
      <c r="AI37" s="21" t="inlineStr">
        <is>
          <t>X</t>
        </is>
      </c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</row>
    <row r="38" ht="18" customHeight="1">
      <c r="A38" s="15" t="inlineStr">
        <is>
          <t>N2</t>
        </is>
      </c>
      <c r="B38" s="16" t="n">
        <v>7</v>
      </c>
      <c r="C38" s="17" t="inlineStr">
        <is>
          <t>IMAT 323</t>
        </is>
      </c>
      <c r="D38" s="18" t="inlineStr">
        <is>
          <t>Optimización</t>
        </is>
      </c>
      <c r="E38" s="13" t="n"/>
      <c r="F38" s="17">
        <f>SUM(G38:I38)</f>
        <v/>
      </c>
      <c r="G38" s="19">
        <f>COUNTIF(J38:S38,"X")</f>
        <v/>
      </c>
      <c r="H38" s="19">
        <f>COUNTIF(T38:AP38,"X")</f>
        <v/>
      </c>
      <c r="I38" s="19">
        <f>COUNTIF(AQ38:AR38,"X")</f>
        <v/>
      </c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21" t="inlineStr">
        <is>
          <t>X</t>
        </is>
      </c>
      <c r="Z38" s="21" t="inlineStr">
        <is>
          <t>X</t>
        </is>
      </c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21" t="inlineStr">
        <is>
          <t>X</t>
        </is>
      </c>
      <c r="AK38" s="9" t="n"/>
      <c r="AL38" s="9" t="n"/>
      <c r="AM38" s="9" t="n"/>
      <c r="AN38" s="9" t="n"/>
      <c r="AO38" s="9" t="n"/>
      <c r="AP38" s="9" t="n"/>
      <c r="AQ38" s="9" t="n"/>
      <c r="AR38" s="9" t="n"/>
    </row>
    <row r="39" ht="18" customHeight="1">
      <c r="C39" s="17" t="inlineStr">
        <is>
          <t>IMAT 412</t>
        </is>
      </c>
      <c r="D39" s="18" t="inlineStr">
        <is>
          <t>Inferencia Estadística</t>
        </is>
      </c>
      <c r="E39" s="13" t="n"/>
      <c r="F39" s="17">
        <f>SUM(G39:I39)</f>
        <v/>
      </c>
      <c r="G39" s="19">
        <f>COUNTIF(J39:S39,"X")</f>
        <v/>
      </c>
      <c r="H39" s="19">
        <f>COUNTIF(T39:AP39,"X")</f>
        <v/>
      </c>
      <c r="I39" s="19">
        <f>COUNTIF(AQ39:AR39,"X")</f>
        <v/>
      </c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21" t="inlineStr">
        <is>
          <t>X</t>
        </is>
      </c>
      <c r="Z39" s="9" t="n"/>
      <c r="AA39" s="9" t="n"/>
      <c r="AB39" s="9" t="n"/>
      <c r="AC39" s="21" t="inlineStr">
        <is>
          <t>X</t>
        </is>
      </c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</row>
    <row r="40" ht="18" customHeight="1">
      <c r="C40" s="17" t="inlineStr">
        <is>
          <t>IMAT 414</t>
        </is>
      </c>
      <c r="D40" s="18" t="inlineStr">
        <is>
          <t>TIPE II</t>
        </is>
      </c>
      <c r="E40" s="13" t="n"/>
      <c r="F40" s="17">
        <f>SUM(G40:I40)</f>
        <v/>
      </c>
      <c r="G40" s="19">
        <f>COUNTIF(J40:S40,"X")</f>
        <v/>
      </c>
      <c r="H40" s="19">
        <f>COUNTIF(T40:AP40,"X")</f>
        <v/>
      </c>
      <c r="I40" s="19">
        <f>COUNTIF(AQ40:AR40,"X")</f>
        <v/>
      </c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</row>
    <row r="41" ht="18" customHeight="1">
      <c r="C41" s="17" t="inlineStr">
        <is>
          <t>IMAT413</t>
        </is>
      </c>
      <c r="D41" s="18" t="inlineStr">
        <is>
          <t>Análisis Complejo</t>
        </is>
      </c>
      <c r="E41" s="13" t="n"/>
      <c r="F41" s="17">
        <f>SUM(G41:I41)</f>
        <v/>
      </c>
      <c r="G41" s="19">
        <f>COUNTIF(J41:S41,"X")</f>
        <v/>
      </c>
      <c r="H41" s="19">
        <f>COUNTIF(T41:AP41,"X")</f>
        <v/>
      </c>
      <c r="I41" s="19">
        <f>COUNTIF(AQ41:AR41,"X")</f>
        <v/>
      </c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21" t="inlineStr">
        <is>
          <t>X</t>
        </is>
      </c>
      <c r="AK41" s="9" t="n"/>
      <c r="AL41" s="9" t="n"/>
      <c r="AM41" s="9" t="n"/>
      <c r="AN41" s="9" t="n"/>
      <c r="AO41" s="9" t="n"/>
      <c r="AP41" s="9" t="n"/>
      <c r="AQ41" s="22" t="inlineStr">
        <is>
          <t>X</t>
        </is>
      </c>
      <c r="AR41" s="22" t="inlineStr">
        <is>
          <t>X</t>
        </is>
      </c>
    </row>
    <row r="42" ht="18" customHeight="1">
      <c r="A42" s="15" t="inlineStr">
        <is>
          <t>N2</t>
        </is>
      </c>
      <c r="B42" s="16" t="n">
        <v>8</v>
      </c>
      <c r="C42" s="17" t="inlineStr">
        <is>
          <t>IMAT 325</t>
        </is>
      </c>
      <c r="D42" s="18" t="inlineStr">
        <is>
          <t>Idioma III</t>
        </is>
      </c>
      <c r="E42" s="13" t="n"/>
      <c r="F42" s="17">
        <f>SUM(G42:I42)</f>
        <v/>
      </c>
      <c r="G42" s="19">
        <f>COUNTIF(J42:S42,"X")</f>
        <v/>
      </c>
      <c r="H42" s="19">
        <f>COUNTIF(T42:AP42,"X")</f>
        <v/>
      </c>
      <c r="I42" s="19">
        <f>COUNTIF(AQ42:AR42,"X")</f>
        <v/>
      </c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</row>
    <row r="43" ht="18" customHeight="1">
      <c r="C43" s="17" t="inlineStr">
        <is>
          <t>IMAT 521</t>
        </is>
      </c>
      <c r="D43" s="18" t="inlineStr">
        <is>
          <t>Optimización Combinatorial</t>
        </is>
      </c>
      <c r="E43" s="13" t="n"/>
      <c r="F43" s="17">
        <f>SUM(G43:I43)</f>
        <v/>
      </c>
      <c r="G43" s="19">
        <f>COUNTIF(J43:S43,"X")</f>
        <v/>
      </c>
      <c r="H43" s="19">
        <f>COUNTIF(T43:AP43,"X")</f>
        <v/>
      </c>
      <c r="I43" s="19">
        <f>COUNTIF(AQ43:AR43,"X")</f>
        <v/>
      </c>
      <c r="J43" s="20" t="inlineStr">
        <is>
          <t>X</t>
        </is>
      </c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21" t="inlineStr">
        <is>
          <t>X</t>
        </is>
      </c>
      <c r="U43" s="21" t="inlineStr">
        <is>
          <t>X</t>
        </is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</row>
    <row r="44" ht="18" customHeight="1">
      <c r="C44" s="17" t="inlineStr">
        <is>
          <t>IMAT421</t>
        </is>
      </c>
      <c r="D44" s="18" t="inlineStr">
        <is>
          <t>Análisis Funcional</t>
        </is>
      </c>
      <c r="E44" s="13" t="n"/>
      <c r="F44" s="17">
        <f>SUM(G44:I44)</f>
        <v/>
      </c>
      <c r="G44" s="19">
        <f>COUNTIF(J44:S44,"X")</f>
        <v/>
      </c>
      <c r="H44" s="19">
        <f>COUNTIF(T44:AP44,"X")</f>
        <v/>
      </c>
      <c r="I44" s="19">
        <f>COUNTIF(AQ44:AR44,"X")</f>
        <v/>
      </c>
      <c r="J44" s="9" t="n"/>
      <c r="K44" s="9" t="n"/>
      <c r="L44" s="9" t="n"/>
      <c r="M44" s="9" t="n"/>
      <c r="N44" s="9" t="n"/>
      <c r="O44" s="9" t="n"/>
      <c r="P44" s="9" t="n"/>
      <c r="Q44" s="9" t="n"/>
      <c r="R44" s="20" t="inlineStr">
        <is>
          <t>X</t>
        </is>
      </c>
      <c r="S44" s="20" t="inlineStr">
        <is>
          <t>X</t>
        </is>
      </c>
      <c r="T44" s="9" t="n"/>
      <c r="U44" s="9" t="n"/>
      <c r="V44" s="9" t="n"/>
      <c r="W44" s="9" t="n"/>
      <c r="X44" s="9" t="n"/>
      <c r="Y44" s="21" t="inlineStr">
        <is>
          <t>X</t>
        </is>
      </c>
      <c r="Z44" s="9" t="n"/>
      <c r="AA44" s="21" t="inlineStr">
        <is>
          <t>X</t>
        </is>
      </c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</row>
    <row r="45" ht="18" customHeight="1">
      <c r="C45" s="17" t="inlineStr">
        <is>
          <t>IMAT422</t>
        </is>
      </c>
      <c r="D45" s="18" t="inlineStr">
        <is>
          <t>Procesos Estocásticos</t>
        </is>
      </c>
      <c r="E45" s="13" t="n"/>
      <c r="F45" s="17">
        <f>SUM(G45:I45)</f>
        <v/>
      </c>
      <c r="G45" s="19">
        <f>COUNTIF(J45:S45,"X")</f>
        <v/>
      </c>
      <c r="H45" s="19">
        <f>COUNTIF(T45:AP45,"X")</f>
        <v/>
      </c>
      <c r="I45" s="19">
        <f>COUNTIF(AQ45:AR45,"X")</f>
        <v/>
      </c>
      <c r="J45" s="9" t="n"/>
      <c r="K45" s="9" t="n"/>
      <c r="L45" s="9" t="n"/>
      <c r="M45" s="9" t="n"/>
      <c r="N45" s="9" t="n"/>
      <c r="O45" s="20" t="inlineStr">
        <is>
          <t>X</t>
        </is>
      </c>
      <c r="P45" s="9" t="n"/>
      <c r="Q45" s="9" t="n"/>
      <c r="R45" s="9" t="n"/>
      <c r="S45" s="20" t="inlineStr">
        <is>
          <t>X</t>
        </is>
      </c>
      <c r="T45" s="9" t="n"/>
      <c r="U45" s="9" t="n"/>
      <c r="V45" s="9" t="n"/>
      <c r="W45" s="9" t="n"/>
      <c r="X45" s="9" t="n"/>
      <c r="Y45" s="21" t="inlineStr">
        <is>
          <t>X</t>
        </is>
      </c>
      <c r="Z45" s="9" t="n"/>
      <c r="AA45" s="9" t="n"/>
      <c r="AB45" s="9" t="n"/>
      <c r="AC45" s="21" t="inlineStr">
        <is>
          <t>X</t>
        </is>
      </c>
      <c r="AD45" s="9" t="n"/>
      <c r="AE45" s="9" t="n"/>
      <c r="AF45" s="9" t="n"/>
      <c r="AG45" s="9" t="n"/>
      <c r="AH45" s="9" t="n"/>
      <c r="AI45" s="21" t="inlineStr">
        <is>
          <t>X</t>
        </is>
      </c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</row>
    <row r="46" ht="18" customHeight="1">
      <c r="C46" s="17" t="inlineStr">
        <is>
          <t>IMAT424</t>
        </is>
      </c>
      <c r="D46" s="18" t="inlineStr">
        <is>
          <t>Taller de Integración al Perfil de Egreso Ingeniería Civil Matemática (TIPE ICM)</t>
        </is>
      </c>
      <c r="E46" s="13" t="n"/>
      <c r="F46" s="17">
        <f>SUM(G46:I46)</f>
        <v/>
      </c>
      <c r="G46" s="19">
        <f>COUNTIF(J46:S46,"X")</f>
        <v/>
      </c>
      <c r="H46" s="19">
        <f>COUNTIF(T46:AP46,"X")</f>
        <v/>
      </c>
      <c r="I46" s="19">
        <f>COUNTIF(AQ46:AR46,"X")</f>
        <v/>
      </c>
      <c r="J46" s="9" t="n"/>
      <c r="K46" s="9" t="n"/>
      <c r="L46" s="9" t="n"/>
      <c r="M46" s="9" t="n"/>
      <c r="N46" s="9" t="n"/>
      <c r="O46" s="20" t="inlineStr">
        <is>
          <t>X</t>
        </is>
      </c>
      <c r="P46" s="9" t="n"/>
      <c r="Q46" s="9" t="n"/>
      <c r="R46" s="9" t="n"/>
      <c r="S46" s="20" t="inlineStr">
        <is>
          <t>X</t>
        </is>
      </c>
      <c r="T46" s="9" t="n"/>
      <c r="U46" s="9" t="n"/>
      <c r="V46" s="9" t="n"/>
      <c r="W46" s="9" t="n"/>
      <c r="X46" s="9" t="n"/>
      <c r="Y46" s="21" t="inlineStr">
        <is>
          <t>X</t>
        </is>
      </c>
      <c r="Z46" s="9" t="n"/>
      <c r="AA46" s="9" t="n"/>
      <c r="AB46" s="9" t="n"/>
      <c r="AC46" s="21" t="inlineStr">
        <is>
          <t>X</t>
        </is>
      </c>
      <c r="AD46" s="9" t="n"/>
      <c r="AE46" s="9" t="n"/>
      <c r="AF46" s="9" t="n"/>
      <c r="AG46" s="9" t="n"/>
      <c r="AH46" s="9" t="n"/>
      <c r="AI46" s="21" t="inlineStr">
        <is>
          <t>X</t>
        </is>
      </c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</row>
    <row r="47" ht="18" customHeight="1">
      <c r="A47" s="15" t="inlineStr">
        <is>
          <t>N3</t>
        </is>
      </c>
      <c r="B47" s="16" t="n">
        <v>9</v>
      </c>
      <c r="C47" s="17" t="inlineStr">
        <is>
          <t>IMAT 511</t>
        </is>
      </c>
      <c r="D47" s="18" t="inlineStr">
        <is>
          <t>Grafos</t>
        </is>
      </c>
      <c r="E47" s="13" t="n"/>
      <c r="F47" s="17">
        <f>SUM(G47:I47)</f>
        <v/>
      </c>
      <c r="G47" s="19">
        <f>COUNTIF(J47:S47,"X")</f>
        <v/>
      </c>
      <c r="H47" s="19">
        <f>COUNTIF(T47:AP47,"X")</f>
        <v/>
      </c>
      <c r="I47" s="19">
        <f>COUNTIF(AQ47:AR47,"X")</f>
        <v/>
      </c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21" t="inlineStr">
        <is>
          <t>X</t>
        </is>
      </c>
      <c r="AE47" s="9" t="n"/>
      <c r="AF47" s="9" t="n"/>
      <c r="AG47" s="9" t="n"/>
      <c r="AH47" s="9" t="n"/>
      <c r="AI47" s="9" t="n"/>
      <c r="AJ47" s="9" t="n"/>
      <c r="AK47" s="21" t="inlineStr">
        <is>
          <t>X</t>
        </is>
      </c>
      <c r="AL47" s="9" t="n"/>
      <c r="AM47" s="9" t="n"/>
      <c r="AN47" s="21" t="inlineStr">
        <is>
          <t>X</t>
        </is>
      </c>
      <c r="AO47" s="9" t="n"/>
      <c r="AP47" s="9" t="n"/>
      <c r="AQ47" s="9" t="n"/>
      <c r="AR47" s="9" t="n"/>
    </row>
    <row r="48" ht="18" customHeight="1">
      <c r="C48" s="17" t="inlineStr">
        <is>
          <t>IMAT 514</t>
        </is>
      </c>
      <c r="D48" s="18" t="inlineStr">
        <is>
          <t>Electivo de Ingeniería I</t>
        </is>
      </c>
      <c r="E48" s="13" t="n"/>
      <c r="F48" s="17">
        <f>SUM(G48:I48)</f>
        <v/>
      </c>
      <c r="G48" s="19">
        <f>COUNTIF(J48:S48,"X")</f>
        <v/>
      </c>
      <c r="H48" s="19">
        <f>COUNTIF(T48:AP48,"X")</f>
        <v/>
      </c>
      <c r="I48" s="19">
        <f>COUNTIF(AQ48:AR48,"X")</f>
        <v/>
      </c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</row>
    <row r="49" ht="18" customHeight="1">
      <c r="C49" s="17" t="inlineStr">
        <is>
          <t>IMAT 515</t>
        </is>
      </c>
      <c r="D49" s="18" t="inlineStr">
        <is>
          <t>Práctica Básica</t>
        </is>
      </c>
      <c r="E49" s="13" t="n"/>
      <c r="F49" s="17">
        <f>SUM(G49:I49)</f>
        <v/>
      </c>
      <c r="G49" s="19">
        <f>COUNTIF(J49:S49,"X")</f>
        <v/>
      </c>
      <c r="H49" s="19">
        <f>COUNTIF(T49:AP49,"X")</f>
        <v/>
      </c>
      <c r="I49" s="19">
        <f>COUNTIF(AQ49:AR49,"X")</f>
        <v/>
      </c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21" t="inlineStr">
        <is>
          <t>X</t>
        </is>
      </c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</row>
    <row r="50" ht="18" customHeight="1">
      <c r="C50" s="17" t="inlineStr">
        <is>
          <t>IMAT512</t>
        </is>
      </c>
      <c r="D50" s="18" t="inlineStr">
        <is>
          <t>Modelación Estocástica</t>
        </is>
      </c>
      <c r="E50" s="13" t="n"/>
      <c r="F50" s="17">
        <f>SUM(G50:I50)</f>
        <v/>
      </c>
      <c r="G50" s="19">
        <f>COUNTIF(J50:S50,"X")</f>
        <v/>
      </c>
      <c r="H50" s="19">
        <f>COUNTIF(T50:AP50,"X")</f>
        <v/>
      </c>
      <c r="I50" s="19">
        <f>COUNTIF(AQ50:AR50,"X")</f>
        <v/>
      </c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21" t="inlineStr">
        <is>
          <t>X</t>
        </is>
      </c>
      <c r="AE50" s="9" t="n"/>
      <c r="AF50" s="21" t="inlineStr">
        <is>
          <t>X</t>
        </is>
      </c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21" t="inlineStr">
        <is>
          <t>X</t>
        </is>
      </c>
      <c r="AQ50" s="9" t="n"/>
      <c r="AR50" s="9" t="n"/>
    </row>
    <row r="51" ht="18" customHeight="1">
      <c r="C51" s="17" t="inlineStr">
        <is>
          <t>IMAT522</t>
        </is>
      </c>
      <c r="D51" s="18" t="inlineStr">
        <is>
          <t>Ecuaciones en Derivadas Parciales</t>
        </is>
      </c>
      <c r="E51" s="13" t="n"/>
      <c r="F51" s="17">
        <f>SUM(G51:I51)</f>
        <v/>
      </c>
      <c r="G51" s="19">
        <f>COUNTIF(J51:S51,"X")</f>
        <v/>
      </c>
      <c r="H51" s="19">
        <f>COUNTIF(T51:AP51,"X")</f>
        <v/>
      </c>
      <c r="I51" s="19">
        <f>COUNTIF(AQ51:AR51,"X")</f>
        <v/>
      </c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21" t="inlineStr">
        <is>
          <t>X</t>
        </is>
      </c>
      <c r="AE51" s="21" t="inlineStr">
        <is>
          <t>X</t>
        </is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21" t="inlineStr">
        <is>
          <t>X</t>
        </is>
      </c>
      <c r="AP51" s="9" t="n"/>
      <c r="AQ51" s="9" t="n"/>
      <c r="AR51" s="9" t="n"/>
    </row>
    <row r="52" ht="18" customHeight="1">
      <c r="A52" s="15" t="inlineStr">
        <is>
          <t>N3</t>
        </is>
      </c>
      <c r="B52" s="16" t="n">
        <v>10</v>
      </c>
      <c r="C52" s="17" t="inlineStr">
        <is>
          <t>IMAT 415</t>
        </is>
      </c>
      <c r="D52" s="18" t="inlineStr">
        <is>
          <t>Idioma IV</t>
        </is>
      </c>
      <c r="E52" s="13" t="n"/>
      <c r="F52" s="17">
        <f>SUM(G52:I52)</f>
        <v/>
      </c>
      <c r="G52" s="19">
        <f>COUNTIF(J52:S52,"X")</f>
        <v/>
      </c>
      <c r="H52" s="19">
        <f>COUNTIF(T52:AP52,"X")</f>
        <v/>
      </c>
      <c r="I52" s="19">
        <f>COUNTIF(AQ52:AR52,"X")</f>
        <v/>
      </c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</row>
    <row r="53" ht="18" customHeight="1">
      <c r="C53" s="17" t="inlineStr">
        <is>
          <t>IMAT 513</t>
        </is>
      </c>
      <c r="D53" s="18" t="inlineStr">
        <is>
          <t>Electivo de formación profesional III</t>
        </is>
      </c>
      <c r="E53" s="13" t="n"/>
      <c r="F53" s="17">
        <f>SUM(G53:I53)</f>
        <v/>
      </c>
      <c r="G53" s="19">
        <f>COUNTIF(J53:S53,"X")</f>
        <v/>
      </c>
      <c r="H53" s="19">
        <f>COUNTIF(T53:AP53,"X")</f>
        <v/>
      </c>
      <c r="I53" s="19">
        <f>COUNTIF(AQ53:AR53,"X")</f>
        <v/>
      </c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</row>
    <row r="54" ht="18" customHeight="1">
      <c r="C54" s="17" t="inlineStr">
        <is>
          <t>IMAT 523</t>
        </is>
      </c>
      <c r="D54" s="18" t="inlineStr">
        <is>
          <t>Proyecto de Ingeniería</t>
        </is>
      </c>
      <c r="E54" s="13" t="n"/>
      <c r="F54" s="17">
        <f>SUM(G54:I54)</f>
        <v/>
      </c>
      <c r="G54" s="19">
        <f>COUNTIF(J54:S54,"X")</f>
        <v/>
      </c>
      <c r="H54" s="19">
        <f>COUNTIF(T54:AP54,"X")</f>
        <v/>
      </c>
      <c r="I54" s="19">
        <f>COUNTIF(AQ54:AR54,"X")</f>
        <v/>
      </c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21" t="inlineStr">
        <is>
          <t>X</t>
        </is>
      </c>
      <c r="AE54" s="21" t="inlineStr">
        <is>
          <t>X</t>
        </is>
      </c>
      <c r="AF54" s="21" t="inlineStr">
        <is>
          <t>X</t>
        </is>
      </c>
      <c r="AG54" s="9" t="n"/>
      <c r="AH54" s="9" t="n"/>
      <c r="AI54" s="9" t="n"/>
      <c r="AJ54" s="9" t="n"/>
      <c r="AK54" s="21" t="inlineStr">
        <is>
          <t>X</t>
        </is>
      </c>
      <c r="AL54" s="21" t="inlineStr">
        <is>
          <t>X</t>
        </is>
      </c>
      <c r="AM54" s="21" t="inlineStr">
        <is>
          <t>X</t>
        </is>
      </c>
      <c r="AN54" s="21" t="inlineStr">
        <is>
          <t>X</t>
        </is>
      </c>
      <c r="AO54" s="21" t="inlineStr">
        <is>
          <t>X</t>
        </is>
      </c>
      <c r="AP54" s="21" t="inlineStr">
        <is>
          <t>X</t>
        </is>
      </c>
      <c r="AQ54" s="9" t="n"/>
      <c r="AR54" s="9" t="n"/>
    </row>
    <row r="55" ht="18" customHeight="1">
      <c r="C55" s="17" t="inlineStr">
        <is>
          <t>IMAT 524</t>
        </is>
      </c>
      <c r="D55" s="18" t="inlineStr">
        <is>
          <t>Electivo de formación profesional II</t>
        </is>
      </c>
      <c r="E55" s="13" t="n"/>
      <c r="F55" s="17">
        <f>SUM(G55:I55)</f>
        <v/>
      </c>
      <c r="G55" s="19">
        <f>COUNTIF(J55:S55,"X")</f>
        <v/>
      </c>
      <c r="H55" s="19">
        <f>COUNTIF(T55:AP55,"X")</f>
        <v/>
      </c>
      <c r="I55" s="19">
        <f>COUNTIF(AQ55:AR55,"X")</f>
        <v/>
      </c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</row>
    <row r="56" ht="18" customHeight="1">
      <c r="A56" s="15" t="inlineStr">
        <is>
          <t>N3</t>
        </is>
      </c>
      <c r="B56" s="16" t="n">
        <v>11</v>
      </c>
      <c r="C56" s="17" t="inlineStr">
        <is>
          <t>IMAT 611</t>
        </is>
      </c>
      <c r="D56" s="18" t="inlineStr">
        <is>
          <t>Taller de Título</t>
        </is>
      </c>
      <c r="E56" s="13" t="n"/>
      <c r="F56" s="17">
        <f>SUM(G56:I56)</f>
        <v/>
      </c>
      <c r="G56" s="19">
        <f>COUNTIF(J56:S56,"X")</f>
        <v/>
      </c>
      <c r="H56" s="19">
        <f>COUNTIF(T56:AP56,"X")</f>
        <v/>
      </c>
      <c r="I56" s="19">
        <f>COUNTIF(AQ56:AR56,"X")</f>
        <v/>
      </c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21" t="inlineStr">
        <is>
          <t>X</t>
        </is>
      </c>
      <c r="AE56" s="21" t="inlineStr">
        <is>
          <t>X</t>
        </is>
      </c>
      <c r="AF56" s="21" t="inlineStr">
        <is>
          <t>X</t>
        </is>
      </c>
      <c r="AG56" s="9" t="n"/>
      <c r="AH56" s="9" t="n"/>
      <c r="AI56" s="9" t="n"/>
      <c r="AJ56" s="9" t="n"/>
      <c r="AK56" s="21" t="inlineStr">
        <is>
          <t>X</t>
        </is>
      </c>
      <c r="AL56" s="21" t="inlineStr">
        <is>
          <t>X</t>
        </is>
      </c>
      <c r="AM56" s="21" t="inlineStr">
        <is>
          <t>X</t>
        </is>
      </c>
      <c r="AN56" s="21" t="inlineStr">
        <is>
          <t>X</t>
        </is>
      </c>
      <c r="AO56" s="21" t="inlineStr">
        <is>
          <t>X</t>
        </is>
      </c>
      <c r="AP56" s="21" t="inlineStr">
        <is>
          <t>X</t>
        </is>
      </c>
      <c r="AQ56" s="9" t="n"/>
      <c r="AR56" s="9" t="n"/>
    </row>
    <row r="57" ht="18" customHeight="1">
      <c r="C57" s="17" t="inlineStr">
        <is>
          <t>IMAT 612</t>
        </is>
      </c>
      <c r="D57" s="18" t="inlineStr">
        <is>
          <t>Práctica Profesional</t>
        </is>
      </c>
      <c r="E57" s="13" t="n"/>
      <c r="F57" s="17">
        <f>SUM(G57:I57)</f>
        <v/>
      </c>
      <c r="G57" s="19">
        <f>COUNTIF(J57:S57,"X")</f>
        <v/>
      </c>
      <c r="H57" s="19">
        <f>COUNTIF(T57:AP57,"X")</f>
        <v/>
      </c>
      <c r="I57" s="19">
        <f>COUNTIF(AQ57:AR57,"X")</f>
        <v/>
      </c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21" t="inlineStr">
        <is>
          <t>X</t>
        </is>
      </c>
      <c r="AE57" s="9" t="n"/>
      <c r="AF57" s="9" t="n"/>
      <c r="AG57" s="9" t="n"/>
      <c r="AH57" s="9" t="n"/>
      <c r="AI57" s="9" t="n"/>
      <c r="AJ57" s="9" t="n"/>
      <c r="AK57" s="21" t="inlineStr">
        <is>
          <t>X</t>
        </is>
      </c>
      <c r="AL57" s="21" t="inlineStr">
        <is>
          <t>X</t>
        </is>
      </c>
      <c r="AM57" s="21" t="inlineStr">
        <is>
          <t>X</t>
        </is>
      </c>
      <c r="AN57" s="9" t="n"/>
      <c r="AO57" s="9" t="n"/>
      <c r="AP57" s="9" t="n"/>
      <c r="AQ57" s="9" t="n"/>
      <c r="AR57" s="9" t="n"/>
    </row>
  </sheetData>
  <mergeCells count="39">
    <mergeCell ref="P3:S3"/>
    <mergeCell ref="AG3:AP3"/>
    <mergeCell ref="A42:A46"/>
    <mergeCell ref="B6:B10"/>
    <mergeCell ref="B2:B3"/>
    <mergeCell ref="A33:A37"/>
    <mergeCell ref="D2:D3"/>
    <mergeCell ref="A47:A51"/>
    <mergeCell ref="F2:F3"/>
    <mergeCell ref="H2:H3"/>
    <mergeCell ref="J2:S2"/>
    <mergeCell ref="B27:B32"/>
    <mergeCell ref="B52:B55"/>
    <mergeCell ref="B21:B26"/>
    <mergeCell ref="B33:B37"/>
    <mergeCell ref="A56:A57"/>
    <mergeCell ref="T3:AF3"/>
    <mergeCell ref="A1:AR1"/>
    <mergeCell ref="A2:A3"/>
    <mergeCell ref="C2:C3"/>
    <mergeCell ref="B38:B41"/>
    <mergeCell ref="E2:E3"/>
    <mergeCell ref="B16:B20"/>
    <mergeCell ref="J3:O3"/>
    <mergeCell ref="A27:A32"/>
    <mergeCell ref="AQ2:AR2"/>
    <mergeCell ref="A21:A26"/>
    <mergeCell ref="B47:B51"/>
    <mergeCell ref="T2:AP2"/>
    <mergeCell ref="A11:A15"/>
    <mergeCell ref="A6:A10"/>
    <mergeCell ref="A38:A41"/>
    <mergeCell ref="B11:B15"/>
    <mergeCell ref="A16:A20"/>
    <mergeCell ref="B56:B57"/>
    <mergeCell ref="B42:B46"/>
    <mergeCell ref="G2:G3"/>
    <mergeCell ref="I2:I3"/>
    <mergeCell ref="A52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2026-06-17T04:53:54Z</dcterms:created>
  <dcterms:modified xmlns:dcterms="http://purl.org/dc/terms/" xmlns:xsi="http://www.w3.org/2001/XMLSchema-instance" xsi:type="dcterms:W3CDTF">2026-06-17T04:53:55Z</dcterms:modified>
</cp:coreProperties>
</file>
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/Users/hector/Library/CloudStorage/GoogleDrive-hector.olivero@uv.cl/Unidades compartidas/Ingeniería Civil Matemática/Certificación ICM 2023/Anexos/Estructura Curricular/"/>
    </mc:Choice>
  </mc:AlternateContent>
  <xr:revisionPtr revIDLastSave="0" documentId="13_ncr:1_{0A639BBE-BAD8-C043-95E2-B3D327BEBFC5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apa (v2 2018)" sheetId="1" r:id="rId1"/>
    <sheet name="REDACCIÓN RA CE1" sheetId="2" r:id="rId2"/>
    <sheet name="REDACCIÓN RA CE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g+aSpdR8fI98L/LThOCDdCI5seDhV7QqmGSS5Gm+9c="/>
    </ext>
  </extLst>
</workbook>
</file>

<file path=xl/calcChain.xml><?xml version="1.0" encoding="utf-8"?>
<calcChain xmlns="http://schemas.openxmlformats.org/spreadsheetml/2006/main">
  <c r="I62" i="1" l="1"/>
  <c r="H62" i="1"/>
  <c r="G62" i="1"/>
  <c r="F62" i="1" s="1"/>
  <c r="I61" i="1"/>
  <c r="H61" i="1"/>
  <c r="G61" i="1"/>
  <c r="F61" i="1" s="1"/>
  <c r="I60" i="1"/>
  <c r="H60" i="1"/>
  <c r="G60" i="1"/>
  <c r="F60" i="1" s="1"/>
  <c r="I59" i="1"/>
  <c r="H59" i="1"/>
  <c r="G59" i="1"/>
  <c r="F59" i="1" s="1"/>
  <c r="I58" i="1"/>
  <c r="H58" i="1"/>
  <c r="G58" i="1"/>
  <c r="F58" i="1" s="1"/>
  <c r="I57" i="1"/>
  <c r="H57" i="1"/>
  <c r="G57" i="1"/>
  <c r="F57" i="1" s="1"/>
  <c r="I56" i="1"/>
  <c r="H56" i="1"/>
  <c r="G56" i="1"/>
  <c r="F56" i="1" s="1"/>
  <c r="I55" i="1"/>
  <c r="H55" i="1"/>
  <c r="G55" i="1"/>
  <c r="F55" i="1" s="1"/>
  <c r="I54" i="1"/>
  <c r="H54" i="1"/>
  <c r="G54" i="1"/>
  <c r="F54" i="1" s="1"/>
  <c r="I53" i="1"/>
  <c r="H53" i="1"/>
  <c r="G53" i="1"/>
  <c r="F53" i="1" s="1"/>
  <c r="I52" i="1"/>
  <c r="H52" i="1"/>
  <c r="G52" i="1"/>
  <c r="F52" i="1" s="1"/>
  <c r="I50" i="1"/>
  <c r="H50" i="1"/>
  <c r="G50" i="1"/>
  <c r="F50" i="1" s="1"/>
  <c r="I49" i="1"/>
  <c r="H49" i="1"/>
  <c r="G49" i="1"/>
  <c r="F49" i="1" s="1"/>
  <c r="I48" i="1"/>
  <c r="H48" i="1"/>
  <c r="G48" i="1"/>
  <c r="F48" i="1" s="1"/>
  <c r="I47" i="1"/>
  <c r="H47" i="1"/>
  <c r="G47" i="1"/>
  <c r="F47" i="1" s="1"/>
  <c r="I46" i="1"/>
  <c r="H46" i="1"/>
  <c r="G46" i="1"/>
  <c r="F46" i="1" s="1"/>
  <c r="I45" i="1"/>
  <c r="H45" i="1"/>
  <c r="G45" i="1"/>
  <c r="F45" i="1" s="1"/>
  <c r="I44" i="1"/>
  <c r="H44" i="1"/>
  <c r="G44" i="1"/>
  <c r="F44" i="1" s="1"/>
  <c r="I43" i="1"/>
  <c r="H43" i="1"/>
  <c r="G43" i="1"/>
  <c r="F43" i="1" s="1"/>
  <c r="I42" i="1"/>
  <c r="H42" i="1"/>
  <c r="G42" i="1"/>
  <c r="F42" i="1" s="1"/>
  <c r="I41" i="1"/>
  <c r="H41" i="1"/>
  <c r="G41" i="1"/>
  <c r="F41" i="1" s="1"/>
  <c r="I40" i="1"/>
  <c r="H40" i="1"/>
  <c r="G40" i="1"/>
  <c r="F40" i="1" s="1"/>
  <c r="I39" i="1"/>
  <c r="H39" i="1"/>
  <c r="G39" i="1"/>
  <c r="I38" i="1"/>
  <c r="H38" i="1"/>
  <c r="G38" i="1"/>
  <c r="F38" i="1" s="1"/>
  <c r="I37" i="1"/>
  <c r="H37" i="1"/>
  <c r="G37" i="1"/>
  <c r="F37" i="1" s="1"/>
  <c r="I36" i="1"/>
  <c r="H36" i="1"/>
  <c r="G36" i="1"/>
  <c r="F36" i="1" s="1"/>
  <c r="I35" i="1"/>
  <c r="H35" i="1"/>
  <c r="G35" i="1"/>
  <c r="F35" i="1" s="1"/>
  <c r="I34" i="1"/>
  <c r="H34" i="1"/>
  <c r="G34" i="1"/>
  <c r="F34" i="1" s="1"/>
  <c r="I33" i="1"/>
  <c r="H33" i="1"/>
  <c r="G33" i="1"/>
  <c r="F33" i="1" s="1"/>
  <c r="I32" i="1"/>
  <c r="H32" i="1"/>
  <c r="G32" i="1"/>
  <c r="F32" i="1" s="1"/>
  <c r="I31" i="1"/>
  <c r="H31" i="1"/>
  <c r="G31" i="1"/>
  <c r="F31" i="1" s="1"/>
  <c r="I30" i="1"/>
  <c r="H30" i="1"/>
  <c r="G30" i="1"/>
  <c r="F30" i="1" s="1"/>
  <c r="I29" i="1"/>
  <c r="H29" i="1"/>
  <c r="G29" i="1"/>
  <c r="F29" i="1" s="1"/>
  <c r="I28" i="1"/>
  <c r="H28" i="1"/>
  <c r="G28" i="1"/>
  <c r="F28" i="1" s="1"/>
  <c r="I26" i="1"/>
  <c r="H26" i="1"/>
  <c r="G26" i="1"/>
  <c r="F26" i="1" s="1"/>
  <c r="I25" i="1"/>
  <c r="H25" i="1"/>
  <c r="G25" i="1"/>
  <c r="F25" i="1" s="1"/>
  <c r="I24" i="1"/>
  <c r="H24" i="1"/>
  <c r="G24" i="1"/>
  <c r="F24" i="1" s="1"/>
  <c r="I23" i="1"/>
  <c r="H23" i="1"/>
  <c r="G23" i="1"/>
  <c r="F23" i="1" s="1"/>
  <c r="I22" i="1"/>
  <c r="H22" i="1"/>
  <c r="G22" i="1"/>
  <c r="F22" i="1" s="1"/>
  <c r="I21" i="1"/>
  <c r="H21" i="1"/>
  <c r="G21" i="1"/>
  <c r="F21" i="1" s="1"/>
  <c r="I20" i="1"/>
  <c r="H20" i="1"/>
  <c r="G20" i="1"/>
  <c r="F20" i="1" s="1"/>
  <c r="I19" i="1"/>
  <c r="H19" i="1"/>
  <c r="G19" i="1"/>
  <c r="F19" i="1" s="1"/>
  <c r="I18" i="1"/>
  <c r="H18" i="1"/>
  <c r="G18" i="1"/>
  <c r="F18" i="1" s="1"/>
  <c r="I17" i="1"/>
  <c r="H17" i="1"/>
  <c r="G17" i="1"/>
  <c r="F17" i="1" s="1"/>
  <c r="I16" i="1"/>
  <c r="H16" i="1"/>
  <c r="G16" i="1"/>
  <c r="F16" i="1" s="1"/>
  <c r="I15" i="1"/>
  <c r="H15" i="1"/>
  <c r="G15" i="1"/>
  <c r="F15" i="1" s="1"/>
  <c r="I14" i="1"/>
  <c r="H14" i="1"/>
  <c r="G14" i="1"/>
  <c r="F14" i="1" s="1"/>
  <c r="I13" i="1"/>
  <c r="H13" i="1"/>
  <c r="G13" i="1"/>
  <c r="F13" i="1" s="1"/>
  <c r="I12" i="1"/>
  <c r="H12" i="1"/>
  <c r="G12" i="1"/>
  <c r="F12" i="1" s="1"/>
  <c r="I11" i="1"/>
  <c r="H11" i="1"/>
  <c r="G11" i="1"/>
  <c r="F11" i="1" s="1"/>
  <c r="I10" i="1"/>
  <c r="H10" i="1"/>
  <c r="G10" i="1"/>
  <c r="F10" i="1" s="1"/>
  <c r="I9" i="1"/>
  <c r="H9" i="1"/>
  <c r="G9" i="1"/>
  <c r="F9" i="1" s="1"/>
  <c r="I8" i="1"/>
  <c r="H8" i="1"/>
  <c r="G8" i="1"/>
  <c r="F8" i="1" s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F3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6" authorId="0" shapeId="0" xr:uid="{00000000-0006-0000-0000-000001000000}">
      <text>
        <r>
          <rPr>
            <sz val="12"/>
            <color theme="1"/>
            <rFont val="Calibri"/>
            <scheme val="minor"/>
          </rPr>
          <t>======
ID#AAAAN8owAGc
Maria Paz Araya    (2021-08-16 15:02:15)
SE LLAMA IGUAL QUE EIM 513</t>
        </r>
      </text>
    </comment>
    <comment ref="D59" authorId="0" shapeId="0" xr:uid="{00000000-0006-0000-0000-000002000000}">
      <text>
        <r>
          <rPr>
            <sz val="12"/>
            <color theme="1"/>
            <rFont val="Calibri"/>
            <scheme val="minor"/>
          </rPr>
          <t>======
ID#AAAAN8owAGY
Maria Paz Araya    (2021-08-16 15:02:15)
SE LLAMA IGUAL QUE EIM 522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Q9C7t8sfdzxflFwJQbyu3zR7ULw=="/>
    </ext>
  </extLst>
</comments>
</file>

<file path=xl/sharedStrings.xml><?xml version="1.0" encoding="utf-8"?>
<sst xmlns="http://schemas.openxmlformats.org/spreadsheetml/2006/main" count="1013" uniqueCount="407">
  <si>
    <t>El Licenciado en Ciencias de la Ingeniería de la Universidad de Valparaíso ha desarrollado competencias del saber, saber hacer y saber ser en los aspectos del conocimiento relacionados con las Ciencias Básicas, las Ciencias de la Ingeniería y Ciencias Sociales y Humanidades necesarios para enfrentar su formación profesional y/o continuar estudios de posgrado.</t>
  </si>
  <si>
    <t>&lt;PERFIL DE EGRESO INGENIERÍA CIVIL MATEMÁTICAS&gt;</t>
  </si>
  <si>
    <t>Aplicación de conocimientos de  Matemáticas, Ciencias e Ingeniería</t>
  </si>
  <si>
    <t>Validación de soluciones ingenieriles</t>
  </si>
  <si>
    <t>Diseño de Soluciones</t>
  </si>
  <si>
    <t>Resolución de problemas</t>
  </si>
  <si>
    <t>Uso de recurso de Ingeniería.</t>
  </si>
  <si>
    <t>Comprensión de la Disciplina</t>
  </si>
  <si>
    <t>Conocimiento Contemporáneo</t>
  </si>
  <si>
    <t>Responsabilidad Ética y Profesional</t>
  </si>
  <si>
    <t>Comunicación escrita</t>
  </si>
  <si>
    <t>Comunicación oral</t>
  </si>
  <si>
    <t>Comunicación en Inglés</t>
  </si>
  <si>
    <t>Aprendizaje continuo</t>
  </si>
  <si>
    <t>Trabajo en equipo</t>
  </si>
  <si>
    <t>Área de desempeño MODELOS MATEMÁTICOS</t>
  </si>
  <si>
    <t>Área de desempeño SOLUCIONES A PROBLEAS DE INGENIERÍA, CIENCIA Y TECNOLOGÍA</t>
  </si>
  <si>
    <t>Competencia Licenciatura/Genérica/Específica</t>
  </si>
  <si>
    <r>
      <rPr>
        <b/>
        <sz val="12"/>
        <color theme="1"/>
        <rFont val="Calibri"/>
        <family val="2"/>
      </rPr>
      <t>CL 1:</t>
    </r>
    <r>
      <rPr>
        <sz val="12"/>
        <color theme="1"/>
        <rFont val="Calibri"/>
        <family val="2"/>
      </rPr>
      <t xml:space="preserve"> Aplica conocimientos de matemática, ciencias e ingeniería en la resolución de problemas ingenieriles propios de la disciplina</t>
    </r>
  </si>
  <si>
    <r>
      <rPr>
        <b/>
        <sz val="12"/>
        <color theme="1"/>
        <rFont val="Calibri"/>
        <family val="2"/>
      </rPr>
      <t>CL 2:</t>
    </r>
    <r>
      <rPr>
        <sz val="12"/>
        <color theme="1"/>
        <rFont val="Calibri"/>
        <family val="2"/>
      </rPr>
      <t xml:space="preserve"> Diseña y ejecuta actividades de validación de propuestas ingenieriles para la obtención de evidencias cuantitativas y cualitativas para su posterior análisis e interpretación de resultados.</t>
    </r>
  </si>
  <si>
    <r>
      <rPr>
        <b/>
        <sz val="12"/>
        <color theme="1"/>
        <rFont val="Calibri"/>
        <family val="2"/>
      </rPr>
      <t>CL 3.</t>
    </r>
    <r>
      <rPr>
        <sz val="12"/>
        <color theme="1"/>
        <rFont val="Calibri"/>
        <family val="2"/>
      </rPr>
      <t xml:space="preserve"> Diseña soluciones ingenieriles, tales como sistemas, modelos y procesos, en contextos reales y con restricciones reales.</t>
    </r>
  </si>
  <si>
    <r>
      <rPr>
        <b/>
        <sz val="12"/>
        <color theme="1"/>
        <rFont val="Calibri"/>
        <family val="2"/>
      </rPr>
      <t>CL 4:</t>
    </r>
    <r>
      <rPr>
        <sz val="12"/>
        <color theme="1"/>
        <rFont val="Calibri"/>
        <family val="2"/>
      </rPr>
      <t xml:space="preserve"> Identifica, formula y resuelve problemas de ingeniería propios de la disciplina.</t>
    </r>
  </si>
  <si>
    <r>
      <rPr>
        <b/>
        <sz val="12"/>
        <color theme="1"/>
        <rFont val="Calibri"/>
        <family val="2"/>
      </rPr>
      <t>CL 5:</t>
    </r>
    <r>
      <rPr>
        <sz val="12"/>
        <color theme="1"/>
        <rFont val="Calibri"/>
        <family val="2"/>
      </rPr>
      <t xml:space="preserve"> Utiliza técnicas, métodos y herramientas actualizadas de la de ingeniería.</t>
    </r>
  </si>
  <si>
    <r>
      <rPr>
        <b/>
        <sz val="12"/>
        <color theme="1"/>
        <rFont val="Calibri"/>
        <family val="2"/>
      </rPr>
      <t xml:space="preserve">CL 6. </t>
    </r>
    <r>
      <rPr>
        <sz val="12"/>
        <color theme="1"/>
        <rFont val="Calibri"/>
        <family val="2"/>
      </rPr>
      <t>Comprende el impacto de las soluciones ingenieriles en el contexto global, social, económico y en el medio ambiente.</t>
    </r>
  </si>
  <si>
    <r>
      <rPr>
        <b/>
        <sz val="12"/>
        <color theme="1"/>
        <rFont val="Calibri"/>
        <family val="2"/>
      </rPr>
      <t>CL 7.</t>
    </r>
    <r>
      <rPr>
        <sz val="12"/>
        <color theme="1"/>
        <rFont val="Calibri"/>
        <family val="2"/>
      </rPr>
      <t xml:space="preserve"> Conoce aspectos socio político y económico del medio en el que desempeñará la disciplina.</t>
    </r>
  </si>
  <si>
    <r>
      <rPr>
        <b/>
        <sz val="12"/>
        <color theme="1"/>
        <rFont val="Calibri"/>
        <family val="2"/>
      </rPr>
      <t xml:space="preserve">CG1: </t>
    </r>
    <r>
      <rPr>
        <sz val="12"/>
        <color theme="1"/>
        <rFont val="Calibri"/>
        <family val="2"/>
      </rPr>
      <t>Posee las bases de un comportamiento ético y responsabilidad social, sustentado en principios y valores de justicia, bien común y el respeto a los derechos y obligaciones propios y de los demás, mostrando coherencia entre su comportamiento e ideas, en la toma de decisiones, considerando el impacto económico, social y ambiental de su actividad en el contexto local y global, con una visión crítica, reflexiva y ética en el ejercicio de la profesión y en las relaciones sociales.</t>
    </r>
  </si>
  <si>
    <r>
      <rPr>
        <b/>
        <sz val="12"/>
        <color theme="1"/>
        <rFont val="Calibri"/>
        <family val="2"/>
      </rPr>
      <t xml:space="preserve">CG2 Comunicación (Expresión Escrita): </t>
    </r>
    <r>
      <rPr>
        <sz val="12"/>
        <color theme="1"/>
        <rFont val="Calibri"/>
        <family val="2"/>
      </rPr>
      <t>Comunica ideas y resultados de trabajos profesionales, en forma escrita y oral en su lengua materna.</t>
    </r>
  </si>
  <si>
    <r>
      <rPr>
        <b/>
        <sz val="12"/>
        <color theme="1"/>
        <rFont val="Calibri"/>
        <family val="2"/>
      </rPr>
      <t>CG3 Comunicación (Expresión Oral):</t>
    </r>
    <r>
      <rPr>
        <sz val="12"/>
        <color theme="1"/>
        <rFont val="Calibri"/>
        <family val="2"/>
      </rPr>
      <t xml:space="preserve"> Comunica ideas y resultados de trabajos profesionales, en forma escrita y oral en su lengua materna.</t>
    </r>
  </si>
  <si>
    <r>
      <rPr>
        <b/>
        <sz val="12"/>
        <color theme="1"/>
        <rFont val="Calibri"/>
        <family val="2"/>
      </rPr>
      <t xml:space="preserve">CG4 Comunicación (Inglés): </t>
    </r>
    <r>
      <rPr>
        <sz val="12"/>
        <color theme="1"/>
        <rFont val="Calibri"/>
        <family val="2"/>
      </rPr>
      <t>Comunica ideas y resultados de trabajos profesionales, en forma escrita y oral en una segunda lengua en un nivel ALTE 2.</t>
    </r>
  </si>
  <si>
    <r>
      <rPr>
        <b/>
        <sz val="12"/>
        <color theme="1"/>
        <rFont val="Calibri"/>
        <family val="2"/>
      </rPr>
      <t xml:space="preserve">CG5, Aprendizaje Continuo: </t>
    </r>
    <r>
      <rPr>
        <sz val="12"/>
        <color theme="1"/>
        <rFont val="Calibri"/>
        <family val="2"/>
      </rPr>
      <t>Utiliza herramientas de aprendizaje de manera estratégica y flexible en función del objetivo perseguido identificando sus propias capacidades y limitaciones para ocuparse con interés y cuidado en las tareas a realizar.</t>
    </r>
  </si>
  <si>
    <r>
      <rPr>
        <b/>
        <sz val="12"/>
        <color theme="1"/>
        <rFont val="Calibri"/>
        <family val="2"/>
      </rPr>
      <t xml:space="preserve">CG6, Trabajo en equipo: </t>
    </r>
    <r>
      <rPr>
        <sz val="12"/>
        <color theme="1"/>
        <rFont val="Calibri"/>
        <family val="2"/>
      </rPr>
      <t>Se Integra y desempeña de manera activa y efectiva en equipos de trabajo, en materias inherentes a la profesión en forma crítica y autocrítica en pos de la consecución de los objetivos propuestos.</t>
    </r>
  </si>
  <si>
    <r>
      <rPr>
        <b/>
        <sz val="14"/>
        <color theme="1"/>
        <rFont val="Calibri"/>
        <family val="2"/>
      </rPr>
      <t xml:space="preserve">CE1: </t>
    </r>
    <r>
      <rPr>
        <sz val="14"/>
        <color theme="1"/>
        <rFont val="Calibri"/>
        <family val="2"/>
      </rPr>
      <t>Desarrolla y utiliza modelos y herramientas avanzados de la Matemática Aplicada para formular y abordar problemas complejos de ingeniería, ciencias y tecnología.</t>
    </r>
  </si>
  <si>
    <r>
      <rPr>
        <b/>
        <sz val="14"/>
        <color theme="1"/>
        <rFont val="Calibri"/>
        <family val="2"/>
      </rPr>
      <t>CE2</t>
    </r>
    <r>
      <rPr>
        <sz val="14"/>
        <color theme="1"/>
        <rFont val="Calibri"/>
        <family val="2"/>
      </rPr>
      <t>: Diseña e implementa soluciones a problemas complejos de ingeniería, ciencias y tecnología, basadas en el análisis matemático, la modelación y la simulación, usando software matemáticos, estadísticos y lenguajes de programación.</t>
    </r>
  </si>
  <si>
    <t>Nivel de Dominio/Desempeño</t>
  </si>
  <si>
    <r>
      <rPr>
        <b/>
        <sz val="12"/>
        <color theme="1"/>
        <rFont val="Calibri"/>
        <family val="2"/>
      </rPr>
      <t>N1:</t>
    </r>
    <r>
      <rPr>
        <sz val="12"/>
        <color theme="1"/>
        <rFont val="Calibri"/>
        <family val="2"/>
      </rPr>
      <t xml:space="preserve"> Utiliza formulaciones y modelos científicos o matemáticos para resolver problemas disciplinares simplificados.</t>
    </r>
  </si>
  <si>
    <r>
      <rPr>
        <b/>
        <sz val="12"/>
        <color theme="1"/>
        <rFont val="Calibri"/>
        <family val="2"/>
      </rPr>
      <t>N2:</t>
    </r>
    <r>
      <rPr>
        <sz val="12"/>
        <color theme="1"/>
        <rFont val="Calibri"/>
        <family val="2"/>
      </rPr>
      <t xml:space="preserve"> Aplica formulaciones y modelos científicos o matemáticos para resolver problemas disciplinares reales.</t>
    </r>
  </si>
  <si>
    <r>
      <rPr>
        <b/>
        <sz val="12"/>
        <color theme="1"/>
        <rFont val="Calibri"/>
        <family val="2"/>
      </rPr>
      <t>N1:</t>
    </r>
    <r>
      <rPr>
        <sz val="12"/>
        <color theme="1"/>
        <rFont val="Calibri"/>
        <family val="2"/>
      </rPr>
      <t xml:space="preserve"> Aplica modelos experimentales para la validación empírica de soluciones a problemas ingenieriles.</t>
    </r>
  </si>
  <si>
    <r>
      <rPr>
        <b/>
        <sz val="12"/>
        <color theme="1"/>
        <rFont val="Calibri"/>
        <family val="2"/>
      </rPr>
      <t>N2:</t>
    </r>
    <r>
      <rPr>
        <sz val="12"/>
        <color theme="1"/>
        <rFont val="Calibri"/>
        <family val="2"/>
      </rPr>
      <t xml:space="preserve"> Selecciona los parámetros, variable y respuestas importantes para la validación empírica de soluciones a problemas ingenieriles.</t>
    </r>
  </si>
  <si>
    <r>
      <rPr>
        <b/>
        <sz val="12"/>
        <color theme="1"/>
        <rFont val="Calibri"/>
        <family val="2"/>
      </rPr>
      <t>N1:</t>
    </r>
    <r>
      <rPr>
        <sz val="12"/>
        <color theme="1"/>
        <rFont val="Calibri"/>
        <family val="2"/>
      </rPr>
      <t xml:space="preserve"> Reconoce y aplica las metodologías y herramientas útiles para diseñar soluciones ingenieriles</t>
    </r>
  </si>
  <si>
    <r>
      <rPr>
        <b/>
        <sz val="12"/>
        <color theme="1"/>
        <rFont val="Calibri"/>
        <family val="2"/>
      </rPr>
      <t>N2:</t>
    </r>
    <r>
      <rPr>
        <sz val="12"/>
        <color theme="1"/>
        <rFont val="Calibri"/>
        <family val="2"/>
      </rPr>
      <t xml:space="preserve"> Construye modelos y/o sistemas  que puedan dar soluciones a problemas ingenieriles en contextos reales. </t>
    </r>
  </si>
  <si>
    <r>
      <rPr>
        <b/>
        <sz val="12"/>
        <color theme="1"/>
        <rFont val="Calibri"/>
        <family val="2"/>
      </rPr>
      <t xml:space="preserve">N1: </t>
    </r>
    <r>
      <rPr>
        <sz val="12"/>
        <color theme="1"/>
        <rFont val="Calibri"/>
        <family val="2"/>
      </rPr>
      <t>Formula y aplica un modelo que dé respuesta a un problema propio de la disciplina</t>
    </r>
  </si>
  <si>
    <r>
      <rPr>
        <b/>
        <sz val="12"/>
        <color theme="1"/>
        <rFont val="Calibri"/>
        <family val="2"/>
      </rPr>
      <t xml:space="preserve">N2: </t>
    </r>
    <r>
      <rPr>
        <sz val="12"/>
        <color theme="1"/>
        <rFont val="Calibri"/>
        <family val="2"/>
      </rPr>
      <t>Diseña estrategias para la resolución de problemas propios de la disciplina</t>
    </r>
  </si>
  <si>
    <r>
      <rPr>
        <b/>
        <sz val="12"/>
        <color theme="1"/>
        <rFont val="Calibri"/>
        <family val="2"/>
      </rPr>
      <t xml:space="preserve">N1: </t>
    </r>
    <r>
      <rPr>
        <sz val="12"/>
        <color theme="1"/>
        <rFont val="Calibri"/>
        <family val="2"/>
      </rPr>
      <t>Reconoce y usa técnicas, herramientas y metodologías actualizadas de Ingeniería</t>
    </r>
  </si>
  <si>
    <r>
      <rPr>
        <b/>
        <sz val="12"/>
        <color theme="1"/>
        <rFont val="Calibri"/>
        <family val="2"/>
      </rPr>
      <t xml:space="preserve">N2: </t>
    </r>
    <r>
      <rPr>
        <sz val="12"/>
        <color theme="1"/>
        <rFont val="Calibri"/>
        <family val="2"/>
      </rPr>
      <t>Selecciona</t>
    </r>
    <r>
      <rPr>
        <b/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 técnicas, herramientas y metodologías actualizadas para dar solución a problemas de ingeniería.</t>
    </r>
  </si>
  <si>
    <r>
      <rPr>
        <b/>
        <sz val="12"/>
        <color theme="1"/>
        <rFont val="Calibri"/>
        <family val="2"/>
      </rPr>
      <t>N1.</t>
    </r>
    <r>
      <rPr>
        <sz val="12"/>
        <color theme="1"/>
        <rFont val="Calibri"/>
        <family val="2"/>
      </rPr>
      <t xml:space="preserve"> Interpreta el efecto de las soluciones ingenieriles en el contexto global, social, económico y en el medio ambiente.</t>
    </r>
  </si>
  <si>
    <r>
      <rPr>
        <b/>
        <sz val="12"/>
        <color theme="1"/>
        <rFont val="Calibri"/>
        <family val="2"/>
      </rPr>
      <t>N2.</t>
    </r>
    <r>
      <rPr>
        <sz val="12"/>
        <color theme="1"/>
        <rFont val="Calibri"/>
        <family val="2"/>
      </rPr>
      <t xml:space="preserve"> Compara el efecto de diferentes soluciones ingenieriles en el contexto global, social, económico y en el medio ambiente.</t>
    </r>
  </si>
  <si>
    <r>
      <rPr>
        <b/>
        <sz val="12"/>
        <color theme="1"/>
        <rFont val="Calibri"/>
        <family val="2"/>
      </rPr>
      <t>N1.</t>
    </r>
    <r>
      <rPr>
        <sz val="12"/>
        <color theme="1"/>
        <rFont val="Calibri"/>
        <family val="2"/>
      </rPr>
      <t xml:space="preserve"> Relaciona el quehacer de la Ingeniería en los procesos socio-políticos y económicos del medio en el que desempeñará la disciplina.</t>
    </r>
  </si>
  <si>
    <r>
      <rPr>
        <b/>
        <sz val="12"/>
        <color theme="1"/>
        <rFont val="Calibri"/>
        <family val="2"/>
      </rPr>
      <t>N2.</t>
    </r>
    <r>
      <rPr>
        <sz val="12"/>
        <color theme="1"/>
        <rFont val="Calibri"/>
        <family val="2"/>
      </rPr>
      <t xml:space="preserve"> Conecta el impacto de la ingeniería con el avance sociopolítico y económico del ámbito de desempeño</t>
    </r>
  </si>
  <si>
    <r>
      <rPr>
        <b/>
        <sz val="12"/>
        <color theme="1"/>
        <rFont val="Calibri"/>
        <family val="2"/>
      </rPr>
      <t xml:space="preserve">N1 </t>
    </r>
    <r>
      <rPr>
        <sz val="12"/>
        <color theme="1"/>
        <rFont val="Calibri"/>
        <family val="2"/>
      </rPr>
      <t>Identifica la variedad de dilemas éticos, sociales, económicos, ambientales y culturales presentes a nivel nacional, regional y/o local.</t>
    </r>
  </si>
  <si>
    <r>
      <rPr>
        <b/>
        <sz val="12"/>
        <color theme="1"/>
        <rFont val="Calibri"/>
        <family val="2"/>
      </rPr>
      <t>N2</t>
    </r>
    <r>
      <rPr>
        <sz val="12"/>
        <color theme="1"/>
        <rFont val="Calibri"/>
        <family val="2"/>
      </rPr>
      <t xml:space="preserve"> Reconoce las externalidades propias a la diversidad de aspectos éticos, sociales, económicos, ambientales y culturales presentes a nivel nacional, regional y/o local.</t>
    </r>
  </si>
  <si>
    <r>
      <rPr>
        <b/>
        <sz val="12"/>
        <color theme="1"/>
        <rFont val="Calibri"/>
        <family val="2"/>
      </rPr>
      <t>N3</t>
    </r>
    <r>
      <rPr>
        <sz val="12"/>
        <color theme="1"/>
        <rFont val="Calibri"/>
        <family val="2"/>
      </rPr>
      <t xml:space="preserve"> Integra externalidades propias a la diversidad de aspectos éticos, sociales, económicos, ambientales y culturales presentes a nivel nacional, regional y/o local relacionados con su quehacer académico. </t>
    </r>
  </si>
  <si>
    <r>
      <rPr>
        <b/>
        <sz val="12"/>
        <color theme="1"/>
        <rFont val="Calibri"/>
        <family val="2"/>
      </rPr>
      <t>N1:</t>
    </r>
    <r>
      <rPr>
        <sz val="12"/>
        <color theme="1"/>
        <rFont val="Calibri"/>
        <family val="2"/>
      </rPr>
      <t xml:space="preserve"> Elabora ensayos, reportes y/o memorias de cálculo de manera simple y coherente, a partir de información escrita en castellano, demostrando un adecuado desenvolvimiento académico.</t>
    </r>
  </si>
  <si>
    <r>
      <rPr>
        <b/>
        <sz val="12"/>
        <color theme="1"/>
        <rFont val="Calibri"/>
        <family val="2"/>
      </rPr>
      <t xml:space="preserve">N2: </t>
    </r>
    <r>
      <rPr>
        <sz val="12"/>
        <color theme="1"/>
        <rFont val="Calibri"/>
        <family val="2"/>
      </rPr>
      <t>Comunica sus ideas y argumentos eficazmente de manera lógica y clara a través de informes técnicos, reportes, portafolios, etc. demostrando un adecuado desenvolvimiento académico.</t>
    </r>
  </si>
  <si>
    <r>
      <rPr>
        <b/>
        <sz val="12"/>
        <color theme="1"/>
        <rFont val="Calibri"/>
        <family val="2"/>
      </rPr>
      <t xml:space="preserve">N3: </t>
    </r>
    <r>
      <rPr>
        <sz val="12"/>
        <color theme="1"/>
        <rFont val="Calibri"/>
        <family val="2"/>
      </rPr>
      <t>Diseña y elabora correctamente informes técnicos y documentos científicos, demostrando un adecuado desenvolvimiento académico.</t>
    </r>
  </si>
  <si>
    <r>
      <rPr>
        <b/>
        <sz val="12"/>
        <color theme="1"/>
        <rFont val="Calibri"/>
        <family val="2"/>
      </rPr>
      <t xml:space="preserve">N1: </t>
    </r>
    <r>
      <rPr>
        <sz val="12"/>
        <color theme="1"/>
        <rFont val="Calibri"/>
        <family val="2"/>
      </rPr>
      <t>Expresa correctamente opiniones, experiencias e ideas en contextos Universitarios de enseñanza- aprendizaje, respondiendo adecuadamente a las preguntas planteadas.</t>
    </r>
  </si>
  <si>
    <r>
      <rPr>
        <b/>
        <sz val="12"/>
        <color theme="1"/>
        <rFont val="Calibri"/>
        <family val="2"/>
      </rPr>
      <t>N2:</t>
    </r>
    <r>
      <rPr>
        <sz val="12"/>
        <color theme="1"/>
        <rFont val="Calibri"/>
        <family val="2"/>
      </rPr>
      <t xml:space="preserve"> Argumenta eficazmente sus ideas en forma oral, gestual y corporal, en contextos Universitarios de Enseñanza- Aprendizaje, respondiendo eficazmente a las preguntas planteadas. </t>
    </r>
  </si>
  <si>
    <r>
      <rPr>
        <b/>
        <sz val="12"/>
        <color theme="1"/>
        <rFont val="Calibri"/>
        <family val="2"/>
      </rPr>
      <t>N3:</t>
    </r>
    <r>
      <rPr>
        <sz val="12"/>
        <color theme="1"/>
        <rFont val="Calibri"/>
        <family val="2"/>
      </rPr>
      <t xml:space="preserve"> Elabora y/o expresa discursos que contienen estructuras argumentales variadas, detalladas, precisas y respaldadas, para fundamentar ideas y posturas. </t>
    </r>
  </si>
  <si>
    <r>
      <rPr>
        <b/>
        <sz val="12"/>
        <color theme="1"/>
        <rFont val="Calibri"/>
        <family val="2"/>
      </rPr>
      <t>N1:</t>
    </r>
    <r>
      <rPr>
        <sz val="12"/>
        <color theme="1"/>
        <rFont val="Calibri"/>
        <family val="2"/>
      </rPr>
      <t xml:space="preserve"> Decodifica y describe mensajes orales y discursos escritos de diversa naturaleza y de mediana complejidad, en una segunda lengua.</t>
    </r>
  </si>
  <si>
    <r>
      <rPr>
        <b/>
        <sz val="12"/>
        <color theme="1"/>
        <rFont val="Calibri"/>
        <family val="2"/>
      </rPr>
      <t>N2:</t>
    </r>
    <r>
      <rPr>
        <sz val="12"/>
        <color theme="1"/>
        <rFont val="Calibri"/>
        <family val="2"/>
      </rPr>
      <t xml:space="preserve"> Extrae y formula ideas a partir de información escrita en inglés, con propósitos académicos y elabora discursos expositivos de carácter disciplinar.</t>
    </r>
  </si>
  <si>
    <r>
      <rPr>
        <b/>
        <sz val="12"/>
        <color theme="1"/>
        <rFont val="Calibri"/>
        <family val="2"/>
      </rPr>
      <t>N3:</t>
    </r>
    <r>
      <rPr>
        <sz val="12"/>
        <color theme="1"/>
        <rFont val="Calibri"/>
        <family val="2"/>
      </rPr>
      <t xml:space="preserve"> Analiza e interpreta críticamente la información escrita en inglés con propósitos académicos.</t>
    </r>
  </si>
  <si>
    <r>
      <rPr>
        <b/>
        <sz val="12"/>
        <color theme="1"/>
        <rFont val="Calibri"/>
        <family val="2"/>
      </rPr>
      <t xml:space="preserve">N1: Reconoce </t>
    </r>
    <r>
      <rPr>
        <sz val="12"/>
        <color theme="1"/>
        <rFont val="Calibri"/>
        <family val="2"/>
      </rPr>
      <t>sus propias limitaciones y aplica los recursos personales y del entorno, para el logro de objetivos y el desempeño de tareas.</t>
    </r>
  </si>
  <si>
    <r>
      <rPr>
        <b/>
        <sz val="12"/>
        <color theme="1"/>
        <rFont val="Calibri"/>
        <family val="2"/>
      </rPr>
      <t xml:space="preserve">N2: </t>
    </r>
    <r>
      <rPr>
        <sz val="12"/>
        <color theme="1"/>
        <rFont val="Calibri"/>
        <family val="2"/>
      </rPr>
      <t>Desarrolla recursos personales, orientados al logro de objetivos y desempeño de tareas.</t>
    </r>
  </si>
  <si>
    <r>
      <rPr>
        <b/>
        <sz val="12"/>
        <color theme="1"/>
        <rFont val="Calibri"/>
        <family val="2"/>
      </rPr>
      <t xml:space="preserve">N3: </t>
    </r>
    <r>
      <rPr>
        <sz val="12"/>
        <color theme="1"/>
        <rFont val="Calibri"/>
        <family val="2"/>
      </rPr>
      <t>Gestiona sus procesos de aprendizaje utilizando sus recursos personales para el logro de sus objetivos y desempeño de tareas.</t>
    </r>
  </si>
  <si>
    <r>
      <rPr>
        <b/>
        <sz val="12"/>
        <color theme="1"/>
        <rFont val="Calibri"/>
        <family val="2"/>
      </rPr>
      <t xml:space="preserve">N1: </t>
    </r>
    <r>
      <rPr>
        <sz val="12"/>
        <color theme="1"/>
        <rFont val="Calibri"/>
        <family val="2"/>
      </rPr>
      <t>Participa y colabora activamente en tareas del equipo fomentando la confianza, la cordialidad y la orientación a la tarea conjunta.</t>
    </r>
  </si>
  <si>
    <r>
      <rPr>
        <b/>
        <sz val="12"/>
        <color theme="1"/>
        <rFont val="Calibri"/>
        <family val="2"/>
      </rPr>
      <t xml:space="preserve">N2: </t>
    </r>
    <r>
      <rPr>
        <sz val="12"/>
        <color theme="1"/>
        <rFont val="Calibri"/>
        <family val="2"/>
      </rPr>
      <t>Conforma equipos de trabajo, contribuyendo en la consolidación y desarrollo del equipo favoreciendo la comunicación, el reparto equilibrado de tareas el clima interno y la cohesión.</t>
    </r>
  </si>
  <si>
    <r>
      <rPr>
        <b/>
        <sz val="12"/>
        <color theme="1"/>
        <rFont val="Calibri"/>
        <family val="2"/>
      </rPr>
      <t xml:space="preserve">N3: </t>
    </r>
    <r>
      <rPr>
        <sz val="12"/>
        <color theme="1"/>
        <rFont val="Calibri"/>
        <family val="2"/>
      </rPr>
      <t>Dirige grupos de trabajo, asegurando la integración de los miembros y su orientación a un rendimiento elevado</t>
    </r>
  </si>
  <si>
    <r>
      <rPr>
        <b/>
        <sz val="14"/>
        <color theme="1"/>
        <rFont val="Calibri"/>
        <family val="2"/>
      </rPr>
      <t>N1:</t>
    </r>
    <r>
      <rPr>
        <sz val="14"/>
        <color theme="1"/>
        <rFont val="Calibri"/>
        <family val="2"/>
      </rPr>
      <t xml:space="preserve"> Domina  herramientas básicas de la Matemática Aplicada para resolver problemas  simplificados de ciencias o ingeniería. </t>
    </r>
  </si>
  <si>
    <r>
      <rPr>
        <b/>
        <sz val="14"/>
        <color theme="1"/>
        <rFont val="Calibri"/>
        <family val="2"/>
      </rPr>
      <t xml:space="preserve">N2: </t>
    </r>
    <r>
      <rPr>
        <sz val="14"/>
        <color theme="1"/>
        <rFont val="Calibri"/>
        <family val="2"/>
      </rPr>
      <t>Aplica modelos y métodos avanzados de la  Matemática Aplicada para resolver problemas delimitados de ingeniería, ciencias y tecnología.</t>
    </r>
  </si>
  <si>
    <r>
      <rPr>
        <b/>
        <sz val="14"/>
        <color theme="1"/>
        <rFont val="Calibri"/>
        <family val="2"/>
      </rPr>
      <t>N3:</t>
    </r>
    <r>
      <rPr>
        <sz val="14"/>
        <color theme="1"/>
        <rFont val="Calibri"/>
        <family val="2"/>
      </rPr>
      <t xml:space="preserve"> Formula modelos y aplica métodos avanzados de la Matemática para resolver problemas complejos de ingeniería, ciencias y tecnología.</t>
    </r>
  </si>
  <si>
    <r>
      <rPr>
        <b/>
        <sz val="12"/>
        <color theme="1"/>
        <rFont val="Calibri"/>
        <family val="2"/>
      </rPr>
      <t xml:space="preserve">N1: </t>
    </r>
    <r>
      <rPr>
        <sz val="12"/>
        <color theme="1"/>
        <rFont val="Calibri"/>
        <family val="2"/>
      </rPr>
      <t xml:space="preserve">Utiliza técnicas de matemáticas básicas y computacionales  para resolver problemas simplificados de ciencias o ingeniería. </t>
    </r>
  </si>
  <si>
    <r>
      <rPr>
        <b/>
        <sz val="12"/>
        <color theme="1"/>
        <rFont val="Calibri"/>
        <family val="2"/>
      </rPr>
      <t xml:space="preserve">N2: </t>
    </r>
    <r>
      <rPr>
        <sz val="12"/>
        <color theme="1"/>
        <rFont val="Calibri"/>
        <family val="2"/>
      </rPr>
      <t>Selecciona e implementa técnicas matemáticas y computacionales, para resolver problemas delimitados de ingeniería, ciencias y tecnología.</t>
    </r>
  </si>
  <si>
    <r>
      <rPr>
        <b/>
        <sz val="12"/>
        <color theme="1"/>
        <rFont val="Calibri"/>
        <family val="2"/>
      </rPr>
      <t xml:space="preserve">N3: </t>
    </r>
    <r>
      <rPr>
        <sz val="12"/>
        <color theme="1"/>
        <rFont val="Calibri"/>
        <family val="2"/>
      </rPr>
      <t>Diseña, planifica y valida soluciones a problemas complejos de ingeniería, ciencias y tecnología, en base a herramientas avanzadas de matemática aplicada y computacion.</t>
    </r>
  </si>
  <si>
    <t xml:space="preserve">SEMESTRE </t>
  </si>
  <si>
    <t xml:space="preserve">CÓDIGO </t>
  </si>
  <si>
    <t>Resultado de Aprendizaje/
Desempeño</t>
  </si>
  <si>
    <t>Créditos</t>
  </si>
  <si>
    <t>Total</t>
  </si>
  <si>
    <t>Comp. 
Espec. 
Licenciatura</t>
  </si>
  <si>
    <t>Comp.
Genéricas</t>
  </si>
  <si>
    <t>Comp.
Espec.
Civil Matemática</t>
  </si>
  <si>
    <r>
      <rPr>
        <b/>
        <sz val="12"/>
        <color theme="1"/>
        <rFont val="Calibri"/>
        <family val="2"/>
      </rPr>
      <t>CL1, N1, RA1: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Relaciona</t>
    </r>
    <r>
      <rPr>
        <sz val="12"/>
        <color theme="1"/>
        <rFont val="Calibri"/>
        <family val="2"/>
      </rPr>
      <t xml:space="preserve"> una formulación matemática y la descripción gramatical de un problema de ingeniería para encontrar una solución.</t>
    </r>
  </si>
  <si>
    <r>
      <rPr>
        <b/>
        <sz val="12"/>
        <color theme="1"/>
        <rFont val="Calibri"/>
        <family val="2"/>
      </rPr>
      <t>CL1, N1, RA2: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 xml:space="preserve">Expresa </t>
    </r>
    <r>
      <rPr>
        <sz val="12"/>
        <color theme="1"/>
        <rFont val="Calibri"/>
        <family val="2"/>
      </rPr>
      <t>a través de modelos gráficos y/o matemáticos diferentes problemas de ingeniería para encontrar su solución.</t>
    </r>
  </si>
  <si>
    <r>
      <rPr>
        <b/>
        <sz val="12"/>
        <color theme="1"/>
        <rFont val="Calibri"/>
        <family val="2"/>
      </rPr>
      <t>CL1, N1, RA3: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 xml:space="preserve">Resuelve </t>
    </r>
    <r>
      <rPr>
        <sz val="12"/>
        <color theme="1"/>
        <rFont val="Calibri"/>
        <family val="2"/>
      </rPr>
      <t>a través de modelos gráficos y/o matemáticos diferentes problemas de ingeniería para encontrar su solución.</t>
    </r>
  </si>
  <si>
    <r>
      <rPr>
        <b/>
        <sz val="12"/>
        <color theme="1"/>
        <rFont val="Calibri"/>
        <family val="2"/>
      </rPr>
      <t>CL1, N2, RA1: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 xml:space="preserve">Implementa </t>
    </r>
    <r>
      <rPr>
        <sz val="12"/>
        <color theme="1"/>
        <rFont val="Calibri"/>
        <family val="2"/>
      </rPr>
      <t>soluciones de problemas de ingeniería, utilizando modelos gráficos y /o matemáticos en contextos reales.</t>
    </r>
  </si>
  <si>
    <r>
      <rPr>
        <b/>
        <sz val="12"/>
        <color theme="1"/>
        <rFont val="Calibri"/>
        <family val="2"/>
      </rPr>
      <t>CL2, N1, RA1: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Identifica</t>
    </r>
    <r>
      <rPr>
        <sz val="12"/>
        <color theme="1"/>
        <rFont val="Calibri"/>
        <family val="2"/>
      </rPr>
      <t xml:space="preserve"> los pasos y características de un diseño de experimentos o actividades de validación empírica para resolver problemas de Ingeniería.</t>
    </r>
  </si>
  <si>
    <r>
      <rPr>
        <b/>
        <sz val="12"/>
        <color theme="1"/>
        <rFont val="Calibri"/>
        <family val="2"/>
      </rPr>
      <t>CL2, N1, RA2: Relaciona</t>
    </r>
    <r>
      <rPr>
        <sz val="12"/>
        <color theme="1"/>
        <rFont val="Calibri"/>
        <family val="2"/>
      </rPr>
      <t xml:space="preserve"> los pasos de un diseño de experimentos con las experiencias de laboratorios para resolver problemas de Ingeniería.</t>
    </r>
  </si>
  <si>
    <r>
      <rPr>
        <b/>
        <sz val="12"/>
        <color theme="1"/>
        <rFont val="Calibri"/>
        <family val="2"/>
      </rPr>
      <t>CL2, N2, RA1: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 xml:space="preserve">Diseña </t>
    </r>
    <r>
      <rPr>
        <sz val="12"/>
        <color theme="1"/>
        <rFont val="Calibri"/>
        <family val="2"/>
      </rPr>
      <t>una actividad de validación empírica para responder una pregunta de investigación en el área de Ingeniería.</t>
    </r>
  </si>
  <si>
    <r>
      <rPr>
        <b/>
        <sz val="12"/>
        <color theme="1"/>
        <rFont val="Calibri"/>
        <family val="2"/>
      </rPr>
      <t>CL3, N1, RA1: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Identifica</t>
    </r>
    <r>
      <rPr>
        <sz val="12"/>
        <color theme="1"/>
        <rFont val="Calibri"/>
        <family val="2"/>
      </rPr>
      <t xml:space="preserve"> métodos, técnicas y herramientas aplicados en el proceso de diseño de soluciones ingenieriles.</t>
    </r>
  </si>
  <si>
    <r>
      <rPr>
        <b/>
        <sz val="12"/>
        <color theme="1"/>
        <rFont val="Calibri"/>
        <family val="2"/>
      </rPr>
      <t>CL3, N1, RA2: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Selecciona y aplica</t>
    </r>
    <r>
      <rPr>
        <sz val="12"/>
        <color theme="1"/>
        <rFont val="Calibri"/>
        <family val="2"/>
      </rPr>
      <t xml:space="preserve"> métodos, técnicas y herramientas para producir resultados parciales dentro del proceso de diseño ingenieril.</t>
    </r>
  </si>
  <si>
    <r>
      <rPr>
        <b/>
        <sz val="12"/>
        <color theme="1"/>
        <rFont val="Calibri"/>
        <family val="2"/>
      </rPr>
      <t>CL3, N2, RA1: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 xml:space="preserve">Ejecuta </t>
    </r>
    <r>
      <rPr>
        <sz val="12"/>
        <color theme="1"/>
        <rFont val="Calibri"/>
        <family val="2"/>
      </rPr>
      <t>un proceso de diseño ingenieril y su evaluación utilizando métodos, metodología, herramientas, técnicas y estándares.</t>
    </r>
  </si>
  <si>
    <r>
      <rPr>
        <b/>
        <sz val="12"/>
        <color theme="1"/>
        <rFont val="Calibri"/>
        <family val="2"/>
      </rPr>
      <t xml:space="preserve">CL4, N1, RA1: Extrae </t>
    </r>
    <r>
      <rPr>
        <sz val="12"/>
        <color theme="1"/>
        <rFont val="Calibri"/>
        <family val="2"/>
      </rPr>
      <t xml:space="preserve"> información de un problema ingenieril que ayude a su comprensión y solución</t>
    </r>
  </si>
  <si>
    <r>
      <rPr>
        <b/>
        <sz val="12"/>
        <color theme="1"/>
        <rFont val="Calibri"/>
        <family val="2"/>
      </rPr>
      <t>CL4, N1, RA2: Identifica</t>
    </r>
    <r>
      <rPr>
        <sz val="12"/>
        <color theme="1"/>
        <rFont val="Calibri"/>
        <family val="2"/>
      </rPr>
      <t xml:space="preserve"> el objetivo que persigue el problema propio de la disciplina para encontrar su solución </t>
    </r>
  </si>
  <si>
    <r>
      <rPr>
        <b/>
        <sz val="12"/>
        <color theme="1"/>
        <rFont val="Calibri"/>
        <family val="2"/>
      </rPr>
      <t>CL4, N1, RA3: Establece</t>
    </r>
    <r>
      <rPr>
        <sz val="12"/>
        <color theme="1"/>
        <rFont val="Calibri"/>
        <family val="2"/>
      </rPr>
      <t xml:space="preserve"> relaciones entre causas y efectos a través de la información proporcionada por el problema.</t>
    </r>
  </si>
  <si>
    <r>
      <rPr>
        <b/>
        <sz val="12"/>
        <color theme="1"/>
        <rFont val="Calibri"/>
        <family val="2"/>
      </rPr>
      <t xml:space="preserve">CL4, N1, RA4: Aplica </t>
    </r>
    <r>
      <rPr>
        <sz val="12"/>
        <color theme="1"/>
        <rFont val="Calibri"/>
        <family val="2"/>
      </rPr>
      <t>distintas técnicas para resolver un problema de Ingeniería</t>
    </r>
  </si>
  <si>
    <r>
      <rPr>
        <b/>
        <sz val="12"/>
        <color theme="1"/>
        <rFont val="Calibri"/>
        <family val="2"/>
      </rPr>
      <t>CL4, N2, RA1: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Selecciona</t>
    </r>
    <r>
      <rPr>
        <sz val="12"/>
        <color theme="1"/>
        <rFont val="Calibri"/>
        <family val="2"/>
      </rPr>
      <t xml:space="preserve"> distintas técnicas para resolver un problema según su adecuación a restricciones propias de la disciplina.</t>
    </r>
  </si>
  <si>
    <r>
      <rPr>
        <b/>
        <sz val="12"/>
        <color theme="1"/>
        <rFont val="Calibri"/>
        <family val="2"/>
      </rPr>
      <t>CL5, N1, RA1: Identifica</t>
    </r>
    <r>
      <rPr>
        <sz val="12"/>
        <color theme="1"/>
        <rFont val="Calibri"/>
        <family val="2"/>
      </rPr>
      <t xml:space="preserve"> las técnicas, herramientas y metodologías actualizadas de Ingeniería y conoce sus usos y aplicaciones.</t>
    </r>
  </si>
  <si>
    <r>
      <rPr>
        <b/>
        <sz val="12"/>
        <color theme="1"/>
        <rFont val="Calibri"/>
        <family val="2"/>
      </rPr>
      <t>CL5, N1, RA2: Utiliza</t>
    </r>
    <r>
      <rPr>
        <sz val="12"/>
        <color theme="1"/>
        <rFont val="Calibri"/>
        <family val="2"/>
      </rPr>
      <t xml:space="preserve"> técnicas, herramientas y metodologías actualizadas de ingeniería en la resolución de problemas y/o proyectos de ingeniería.</t>
    </r>
  </si>
  <si>
    <r>
      <rPr>
        <b/>
        <sz val="12"/>
        <color theme="1"/>
        <rFont val="Calibri"/>
        <family val="2"/>
      </rPr>
      <t>CL5, N2, RA1: Determina</t>
    </r>
    <r>
      <rPr>
        <sz val="12"/>
        <color theme="1"/>
        <rFont val="Calibri"/>
        <family val="2"/>
      </rPr>
      <t xml:space="preserve"> las técnicas, herramientas y metodologías actualizadas y pertinentes para dar solución a problemas de ingeniería.  </t>
    </r>
  </si>
  <si>
    <r>
      <rPr>
        <b/>
        <sz val="12"/>
        <color theme="1"/>
        <rFont val="Calibri"/>
        <family val="2"/>
      </rPr>
      <t>CL6, N1, RA1: Explica</t>
    </r>
    <r>
      <rPr>
        <sz val="12"/>
        <color theme="1"/>
        <rFont val="Calibri"/>
        <family val="2"/>
      </rPr>
      <t xml:space="preserve"> el impacto de las soluciones ingenieriles en el contexto global, social, económico y en el medio ambiente.</t>
    </r>
  </si>
  <si>
    <r>
      <rPr>
        <b/>
        <sz val="12"/>
        <color theme="1"/>
        <rFont val="Calibri"/>
        <family val="2"/>
      </rPr>
      <t xml:space="preserve">CL6, N2, RA1: Contrasta </t>
    </r>
    <r>
      <rPr>
        <sz val="12"/>
        <color theme="1"/>
        <rFont val="Calibri"/>
        <family val="2"/>
      </rPr>
      <t>el efecto de diferentes soluciones ingenieriles en el contexto global, social, económico y en el medio ambiente.</t>
    </r>
  </si>
  <si>
    <r>
      <rPr>
        <b/>
        <sz val="12"/>
        <color theme="1"/>
        <rFont val="Calibri"/>
        <family val="2"/>
      </rPr>
      <t>CL7,N2,RA1: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Identifica</t>
    </r>
    <r>
      <rPr>
        <sz val="12"/>
        <color theme="1"/>
        <rFont val="Calibri"/>
        <family val="2"/>
      </rPr>
      <t xml:space="preserve">  aspectos socio políticos y económicos del medio en el que se desempeñara la disciplina</t>
    </r>
  </si>
  <si>
    <r>
      <rPr>
        <b/>
        <sz val="12"/>
        <color theme="1"/>
        <rFont val="Calibri"/>
        <family val="2"/>
      </rPr>
      <t>CL7, N2, RA2: Asocia</t>
    </r>
    <r>
      <rPr>
        <sz val="12"/>
        <color theme="1"/>
        <rFont val="Calibri"/>
        <family val="2"/>
      </rPr>
      <t xml:space="preserve"> el impacto de la ingeniería con el avance sociopolítico y económico del ámbito de desempeño.</t>
    </r>
  </si>
  <si>
    <r>
      <rPr>
        <b/>
        <sz val="12"/>
        <color theme="1"/>
        <rFont val="Calibri"/>
        <family val="2"/>
      </rPr>
      <t>CG1, N1, D1: Respeta</t>
    </r>
    <r>
      <rPr>
        <sz val="12"/>
        <color theme="1"/>
        <rFont val="Calibri"/>
        <family val="2"/>
      </rPr>
      <t xml:space="preserve"> y aplica normas establecida</t>
    </r>
    <r>
      <rPr>
        <b/>
        <sz val="12"/>
        <color theme="1"/>
        <rFont val="Calibri"/>
        <family val="2"/>
      </rPr>
      <t xml:space="preserve">s </t>
    </r>
    <r>
      <rPr>
        <sz val="12"/>
        <color theme="1"/>
        <rFont val="Calibri"/>
        <family val="2"/>
      </rPr>
      <t>tanto en forma autónoma</t>
    </r>
    <r>
      <rPr>
        <b/>
        <sz val="12"/>
        <color theme="1"/>
        <rFont val="Calibri"/>
        <family val="2"/>
      </rPr>
      <t xml:space="preserve"> c</t>
    </r>
    <r>
      <rPr>
        <sz val="12"/>
        <color theme="1"/>
        <rFont val="Calibri"/>
        <family val="2"/>
      </rPr>
      <t>omo en los grupos de trabajo al que pertenece.</t>
    </r>
  </si>
  <si>
    <r>
      <rPr>
        <b/>
        <sz val="12"/>
        <color theme="1"/>
        <rFont val="Calibri"/>
        <family val="2"/>
      </rPr>
      <t>CG1, N1, D2: Relaciona</t>
    </r>
    <r>
      <rPr>
        <sz val="12"/>
        <color theme="1"/>
        <rFont val="Calibri"/>
        <family val="2"/>
      </rPr>
      <t xml:space="preserve"> situaciones   dilemas éticos, sociales, económicos, ambientales y culturales  de la realidad global con situaciones de la realidad local.</t>
    </r>
  </si>
  <si>
    <r>
      <rPr>
        <b/>
        <sz val="12"/>
        <color theme="1"/>
        <rFont val="Calibri"/>
        <family val="2"/>
      </rPr>
      <t>CG1, N2, D1: Participa</t>
    </r>
    <r>
      <rPr>
        <sz val="12"/>
        <color theme="1"/>
        <rFont val="Calibri"/>
        <family val="2"/>
      </rPr>
      <t xml:space="preserve"> en equipos de trabajo cooperativo e interdisciplinario para dar una mejor respuesta a las necesidades de la comunidad. </t>
    </r>
  </si>
  <si>
    <r>
      <rPr>
        <b/>
        <sz val="12"/>
        <color theme="1"/>
        <rFont val="Calibri"/>
        <family val="2"/>
      </rPr>
      <t>CG1, N2, D2:  Opina</t>
    </r>
    <r>
      <rPr>
        <sz val="12"/>
        <color theme="1"/>
        <rFont val="Calibri"/>
        <family val="2"/>
      </rPr>
      <t xml:space="preserve"> de manera crítica y con fundamento a cerca de su rol en la sociedad que integra.</t>
    </r>
  </si>
  <si>
    <r>
      <rPr>
        <b/>
        <sz val="12"/>
        <color theme="1"/>
        <rFont val="Calibri"/>
        <family val="2"/>
      </rPr>
      <t xml:space="preserve">CG1, N2, D3: </t>
    </r>
    <r>
      <rPr>
        <sz val="12"/>
        <color theme="1"/>
        <rFont val="Calibri"/>
        <family val="2"/>
      </rPr>
      <t>Integra en forma general  las tres dimensiones del desarrollo sostenible (social, económico y ambiental) en las propuestas y acciones de trabajo</t>
    </r>
  </si>
  <si>
    <r>
      <rPr>
        <b/>
        <sz val="12"/>
        <color theme="1"/>
        <rFont val="Calibri"/>
        <family val="2"/>
      </rPr>
      <t>CG1, N3, D1: Articula</t>
    </r>
    <r>
      <rPr>
        <sz val="12"/>
        <color theme="1"/>
        <rFont val="Calibri"/>
        <family val="2"/>
      </rPr>
      <t xml:space="preserve"> sistemáticamente las dimensiones social y económica y sus múltiples interrelaciones tanto a nivel de diagnóstico, de ejecución y de evaluación de impacto en las propuestas de proyectos, con alto nivel de calidad. 
</t>
    </r>
  </si>
  <si>
    <r>
      <rPr>
        <b/>
        <sz val="12"/>
        <color theme="1"/>
        <rFont val="Calibri"/>
        <family val="2"/>
      </rPr>
      <t>CG1, N3, D2: Considera</t>
    </r>
    <r>
      <rPr>
        <sz val="12"/>
        <color theme="1"/>
        <rFont val="Calibri"/>
        <family val="2"/>
      </rPr>
      <t xml:space="preserve"> las necesidades de la comunidad en el diseño y aplicación de sus proyectos académicos.</t>
    </r>
  </si>
  <si>
    <r>
      <rPr>
        <b/>
        <sz val="12"/>
        <color theme="1"/>
        <rFont val="Calibri"/>
        <family val="2"/>
      </rPr>
      <t xml:space="preserve"> CG1, N3, D3: Plantea</t>
    </r>
    <r>
      <rPr>
        <sz val="12"/>
        <color theme="1"/>
        <rFont val="Calibri"/>
        <family val="2"/>
      </rPr>
      <t xml:space="preserve"> soluciones desde su disciplina en
 temas de relevancia social, que contribuyen a mejorar la calidad de vida de la población.</t>
    </r>
  </si>
  <si>
    <r>
      <rPr>
        <b/>
        <sz val="12"/>
        <color theme="1"/>
        <rFont val="Calibri"/>
        <family val="2"/>
      </rPr>
      <t>CG2, N1, D1: Elabora</t>
    </r>
    <r>
      <rPr>
        <sz val="12"/>
        <color theme="1"/>
        <rFont val="Calibri"/>
        <family val="2"/>
      </rPr>
      <t xml:space="preserve"> informes o reportes de baja complejidad, con una estructura lógica y coherente, respetando convenciones ortográficas y gramaticales. </t>
    </r>
  </si>
  <si>
    <r>
      <rPr>
        <b/>
        <sz val="12"/>
        <color theme="1"/>
        <rFont val="Calibri"/>
        <family val="2"/>
      </rPr>
      <t>CG2, N1, D2: Expresa</t>
    </r>
    <r>
      <rPr>
        <sz val="12"/>
        <color theme="1"/>
        <rFont val="Calibri"/>
        <family val="2"/>
      </rPr>
      <t xml:space="preserve"> ideas y conceptos mediante representaciones matemáticas o gráficas, tablas, cuadros comparativos, infografías, etc., donde resume información extraída de fuentes bibliográficas.</t>
    </r>
  </si>
  <si>
    <r>
      <rPr>
        <b/>
        <sz val="12"/>
        <color theme="1"/>
        <rFont val="Calibri"/>
        <family val="2"/>
      </rPr>
      <t>CG2, N2,D1: Organiza</t>
    </r>
    <r>
      <rPr>
        <sz val="12"/>
        <color theme="1"/>
        <rFont val="Calibri"/>
        <family val="2"/>
      </rPr>
      <t xml:space="preserve"> la información para facilitar su comprensión a los destinatarios teniendo en cuenta sus expectativas y conocimientos previos.</t>
    </r>
  </si>
  <si>
    <r>
      <rPr>
        <b/>
        <sz val="12"/>
        <color theme="1"/>
        <rFont val="Calibri"/>
        <family val="2"/>
      </rPr>
      <t>CG2, N2, D2: Elabora</t>
    </r>
    <r>
      <rPr>
        <sz val="12"/>
        <color theme="1"/>
        <rFont val="Calibri"/>
        <family val="2"/>
      </rPr>
      <t xml:space="preserve"> textos como informes de trabajo o documentación de proyectos, incorporando ideas propias y argumentos, utilizando un lenguaje técnico, de acuerdo con formatos estándar de la profesión.</t>
    </r>
  </si>
  <si>
    <r>
      <rPr>
        <b/>
        <sz val="12"/>
        <color theme="1"/>
        <rFont val="Calibri"/>
        <family val="2"/>
      </rPr>
      <t>CG2, N3, D1: Diseña</t>
    </r>
    <r>
      <rPr>
        <sz val="12"/>
        <color theme="1"/>
        <rFont val="Calibri"/>
        <family val="2"/>
      </rPr>
      <t xml:space="preserve"> y </t>
    </r>
    <r>
      <rPr>
        <b/>
        <sz val="12"/>
        <color theme="1"/>
        <rFont val="Calibri"/>
        <family val="2"/>
      </rPr>
      <t>Redacta</t>
    </r>
    <r>
      <rPr>
        <sz val="12"/>
        <color theme="1"/>
        <rFont val="Calibri"/>
        <family val="2"/>
      </rPr>
      <t xml:space="preserve"> de manera eficiente informes técnicos o científicos siguiendo normativas adecuadas.</t>
    </r>
  </si>
  <si>
    <r>
      <rPr>
        <b/>
        <sz val="12"/>
        <color theme="1"/>
        <rFont val="Calibri"/>
        <family val="2"/>
      </rPr>
      <t xml:space="preserve">CG2, N3, D2: Aplica </t>
    </r>
    <r>
      <rPr>
        <sz val="12"/>
        <color theme="1"/>
        <rFont val="Calibri"/>
        <family val="2"/>
      </rPr>
      <t>las herramientas informáticas apropiadas para la elaboración de informes y presentaciones.</t>
    </r>
  </si>
  <si>
    <r>
      <rPr>
        <b/>
        <sz val="12"/>
        <color theme="1"/>
        <rFont val="Calibri"/>
        <family val="2"/>
      </rPr>
      <t>CG3, N1, D1: Expresa</t>
    </r>
    <r>
      <rPr>
        <sz val="12"/>
        <color theme="1"/>
        <rFont val="Calibri"/>
        <family val="2"/>
      </rPr>
      <t xml:space="preserve"> en forma oral de manera concisa y con fundamentos válidos.
</t>
    </r>
  </si>
  <si>
    <r>
      <rPr>
        <b/>
        <sz val="12"/>
        <color theme="1"/>
        <rFont val="Calibri"/>
        <family val="2"/>
      </rPr>
      <t>CG3, N1, D2. Usa</t>
    </r>
    <r>
      <rPr>
        <sz val="12"/>
        <color theme="1"/>
        <rFont val="Calibri"/>
        <family val="2"/>
      </rPr>
      <t xml:space="preserve"> un estilo/tono de lenguaje pertinente a un contexto Universitario de enseñanza- aprendizaje</t>
    </r>
  </si>
  <si>
    <r>
      <rPr>
        <b/>
        <sz val="12"/>
        <color theme="1"/>
        <rFont val="Calibri"/>
        <family val="2"/>
      </rPr>
      <t xml:space="preserve">CG3, N2, D1: Transmite </t>
    </r>
    <r>
      <rPr>
        <sz val="12"/>
        <color theme="1"/>
        <rFont val="Calibri"/>
        <family val="2"/>
      </rPr>
      <t>ideas utilizando lenguaje técnico según la audiencia.</t>
    </r>
  </si>
  <si>
    <r>
      <rPr>
        <b/>
        <sz val="12"/>
        <color theme="1"/>
        <rFont val="Calibri"/>
        <family val="2"/>
      </rPr>
      <t xml:space="preserve">CG3, N2, D2: Argumenta </t>
    </r>
    <r>
      <rPr>
        <sz val="12"/>
        <color theme="1"/>
        <rFont val="Calibri"/>
        <family val="2"/>
      </rPr>
      <t>técnicamente</t>
    </r>
    <r>
      <rPr>
        <b/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 su propuesta frente a una temática propia de la ingeniería.</t>
    </r>
  </si>
  <si>
    <r>
      <rPr>
        <b/>
        <sz val="12"/>
        <color theme="1"/>
        <rFont val="Calibri"/>
        <family val="2"/>
      </rPr>
      <t xml:space="preserve">CG3, N3, D1: Comunica y presenta </t>
    </r>
    <r>
      <rPr>
        <sz val="12"/>
        <color theme="1"/>
        <rFont val="Calibri"/>
        <family val="2"/>
      </rPr>
      <t>eficazmente ideas  y/o propuestas de trabajos o proyectos disciplinares, en contextos formativos, profesionales y sociales.</t>
    </r>
  </si>
  <si>
    <r>
      <rPr>
        <b/>
        <sz val="12"/>
        <color theme="1"/>
        <rFont val="Calibri"/>
        <family val="2"/>
      </rPr>
      <t>CG3, N3, D2: Aplica</t>
    </r>
    <r>
      <rPr>
        <sz val="12"/>
        <color theme="1"/>
        <rFont val="Calibri"/>
        <family val="2"/>
      </rPr>
      <t xml:space="preserve"> eficazmente las herramientas tecnológicas apropiadas para la comunicación</t>
    </r>
  </si>
  <si>
    <r>
      <rPr>
        <b/>
        <sz val="12"/>
        <color theme="1"/>
        <rFont val="Calibri"/>
        <family val="2"/>
      </rPr>
      <t xml:space="preserve">CG4, N1, D1: Utiliza </t>
    </r>
    <r>
      <rPr>
        <sz val="12"/>
        <color theme="1"/>
        <rFont val="Calibri"/>
        <family val="2"/>
      </rPr>
      <t>bibliografía complementaria en el idioma inglés.</t>
    </r>
  </si>
  <si>
    <r>
      <rPr>
        <b/>
        <sz val="12"/>
        <color theme="1"/>
        <rFont val="Calibri"/>
        <family val="2"/>
      </rPr>
      <t>CG4, N1,D2: Extrae</t>
    </r>
    <r>
      <rPr>
        <sz val="12"/>
        <color theme="1"/>
        <rFont val="Calibri"/>
        <family val="2"/>
      </rPr>
      <t xml:space="preserve"> e interpreta información pertinente y relevante de mensajes y/o textos en Inglés en su ámbito disciplinar.</t>
    </r>
  </si>
  <si>
    <r>
      <rPr>
        <b/>
        <sz val="12"/>
        <color theme="1"/>
        <rFont val="Calibri"/>
        <family val="2"/>
      </rPr>
      <t xml:space="preserve">CG4, N2,D1: Redacta </t>
    </r>
    <r>
      <rPr>
        <sz val="12"/>
        <color theme="1"/>
        <rFont val="Calibri"/>
        <family val="2"/>
      </rPr>
      <t>ideas o resúmenes de textos disciplinares o artículos en inglés.</t>
    </r>
  </si>
  <si>
    <r>
      <rPr>
        <b/>
        <sz val="12"/>
        <color theme="1"/>
        <rFont val="Calibri"/>
        <family val="2"/>
      </rPr>
      <t xml:space="preserve">CG4, N2, D2: Identifica  </t>
    </r>
    <r>
      <rPr>
        <sz val="12"/>
        <color theme="1"/>
        <rFont val="Calibri"/>
        <family val="2"/>
      </rPr>
      <t>la o las ideas principales de un texto disciplinar en inglés.</t>
    </r>
  </si>
  <si>
    <r>
      <rPr>
        <b/>
        <sz val="12"/>
        <color theme="1"/>
        <rFont val="Calibri"/>
        <family val="2"/>
      </rPr>
      <t xml:space="preserve">CG4, N3, D1: Utiliza </t>
    </r>
    <r>
      <rPr>
        <sz val="12"/>
        <color theme="1"/>
        <rFont val="Calibri"/>
        <family val="2"/>
      </rPr>
      <t>y analiza textos escritos en inglés con propósitos académicos.</t>
    </r>
  </si>
  <si>
    <r>
      <rPr>
        <b/>
        <sz val="12"/>
        <color theme="1"/>
        <rFont val="Calibri"/>
        <family val="2"/>
      </rPr>
      <t>CG4, N3, D2: Presenta</t>
    </r>
    <r>
      <rPr>
        <sz val="12"/>
        <color theme="1"/>
        <rFont val="Calibri"/>
        <family val="2"/>
      </rPr>
      <t xml:space="preserve"> oralmente ideas y resultados de un trabajo académico, en inglés, utilizando conceptos disciplinares, en un nivel ALTE2.</t>
    </r>
  </si>
  <si>
    <r>
      <rPr>
        <b/>
        <sz val="12"/>
        <color theme="1"/>
        <rFont val="Calibri"/>
        <family val="2"/>
      </rPr>
      <t>CG5, N1, D1: Reconoce</t>
    </r>
    <r>
      <rPr>
        <sz val="12"/>
        <color theme="1"/>
        <rFont val="Calibri"/>
        <family val="2"/>
      </rPr>
      <t xml:space="preserve"> sus propias fortalezas y debilidades en su desempeño académico.</t>
    </r>
  </si>
  <si>
    <r>
      <rPr>
        <b/>
        <sz val="12"/>
        <color theme="1"/>
        <rFont val="Calibri"/>
        <family val="2"/>
      </rPr>
      <t>CG5, N1, D2: Examina</t>
    </r>
    <r>
      <rPr>
        <sz val="12"/>
        <color theme="1"/>
        <rFont val="Calibri"/>
        <family val="2"/>
      </rPr>
      <t xml:space="preserve"> el efecto que tienen sus emociones en su desempeño académico.</t>
    </r>
  </si>
  <si>
    <r>
      <rPr>
        <b/>
        <sz val="12"/>
        <color theme="1"/>
        <rFont val="Calibri"/>
        <family val="2"/>
      </rPr>
      <t>CG5, N1, D3: Identifica</t>
    </r>
    <r>
      <rPr>
        <sz val="12"/>
        <color theme="1"/>
        <rFont val="Calibri"/>
        <family val="2"/>
      </rPr>
      <t xml:space="preserve"> su propio estilo de aprendizaje para seleccionar estrategias de estudio adecuadas.</t>
    </r>
  </si>
  <si>
    <r>
      <rPr>
        <b/>
        <sz val="12"/>
        <color theme="1"/>
        <rFont val="Calibri"/>
        <family val="2"/>
      </rPr>
      <t xml:space="preserve">CG5, N1, D4: Busca </t>
    </r>
    <r>
      <rPr>
        <sz val="12"/>
        <color theme="1"/>
        <rFont val="Calibri"/>
        <family val="2"/>
      </rPr>
      <t>diferentes Fuentes documentales para resolver sus requerimientos de información.</t>
    </r>
  </si>
  <si>
    <r>
      <rPr>
        <b/>
        <sz val="12"/>
        <color theme="1"/>
        <rFont val="Calibri"/>
        <family val="2"/>
      </rPr>
      <t>CG5, N1, D5: Conoce</t>
    </r>
    <r>
      <rPr>
        <sz val="12"/>
        <color theme="1"/>
        <rFont val="Calibri"/>
        <family val="2"/>
      </rPr>
      <t xml:space="preserve">   herramientas y/o TIC que apoyen su proceso de aprendizaje.</t>
    </r>
  </si>
  <si>
    <r>
      <rPr>
        <b/>
        <sz val="12"/>
        <color theme="1"/>
        <rFont val="Calibri"/>
        <family val="2"/>
      </rPr>
      <t>CG5, N2, D1: Selecciona</t>
    </r>
    <r>
      <rPr>
        <sz val="12"/>
        <color theme="1"/>
        <rFont val="Calibri"/>
        <family val="2"/>
      </rPr>
      <t xml:space="preserve"> fuentes de información, físicas y virtuales, atingentes a su necesidad de información, para resolver problemas disciplinares.</t>
    </r>
  </si>
  <si>
    <r>
      <rPr>
        <b/>
        <sz val="12"/>
        <color theme="1"/>
        <rFont val="Calibri"/>
        <family val="2"/>
      </rPr>
      <t>CG5, N2, D2: Utiliza</t>
    </r>
    <r>
      <rPr>
        <sz val="12"/>
        <color theme="1"/>
        <rFont val="Calibri"/>
        <family val="2"/>
      </rPr>
      <t xml:space="preserve"> herramientas y/o TIC que apoyan su proceso de aprendizaje en las diferentes asignaturas.</t>
    </r>
  </si>
  <si>
    <r>
      <rPr>
        <b/>
        <sz val="12"/>
        <color theme="1"/>
        <rFont val="Calibri"/>
        <family val="2"/>
      </rPr>
      <t>CG5, N3, D1: Jerarquiza</t>
    </r>
    <r>
      <rPr>
        <sz val="12"/>
        <color theme="1"/>
        <rFont val="Calibri"/>
        <family val="2"/>
      </rPr>
      <t xml:space="preserve"> objetivos y prioridades, planificando y cumpliendo con los tiempos establecidos y compartidos con otros.</t>
    </r>
  </si>
  <si>
    <r>
      <rPr>
        <b/>
        <sz val="12"/>
        <color theme="1"/>
        <rFont val="Calibri"/>
        <family val="2"/>
      </rPr>
      <t xml:space="preserve">CG5, N3, D2: Aplica </t>
    </r>
    <r>
      <rPr>
        <sz val="12"/>
        <color theme="1"/>
        <rFont val="Calibri"/>
        <family val="2"/>
      </rPr>
      <t>herramientas y/o TICs que apoyen su desempeño académico y que le permitan trabajar con otros en forma colaborativa y a distancia</t>
    </r>
  </si>
  <si>
    <r>
      <rPr>
        <b/>
        <sz val="12"/>
        <color theme="1"/>
        <rFont val="Calibri"/>
        <family val="2"/>
      </rPr>
      <t>CG6, N1, D1: Realiza</t>
    </r>
    <r>
      <rPr>
        <sz val="12"/>
        <color theme="1"/>
        <rFont val="Calibri"/>
        <family val="2"/>
      </rPr>
      <t xml:space="preserve"> las tareas que le son asignadas dentro del grupo en los plazos requeridos.</t>
    </r>
  </si>
  <si>
    <r>
      <rPr>
        <b/>
        <sz val="12"/>
        <color theme="1"/>
        <rFont val="Calibri"/>
        <family val="2"/>
      </rPr>
      <t xml:space="preserve">CG6, N1, D2: Colabora </t>
    </r>
    <r>
      <rPr>
        <sz val="12"/>
        <color theme="1"/>
        <rFont val="Calibri"/>
        <family val="2"/>
      </rPr>
      <t>activamente en la definición de metas, organización y distribución de las tareas de grupo, compartiendo información, conocimientos y experiencias.</t>
    </r>
  </si>
  <si>
    <r>
      <rPr>
        <b/>
        <sz val="12"/>
        <color theme="1"/>
        <rFont val="Calibri"/>
        <family val="2"/>
      </rPr>
      <t>CG6, N1, D3: Considera</t>
    </r>
    <r>
      <rPr>
        <sz val="12"/>
        <color theme="1"/>
        <rFont val="Calibri"/>
        <family val="2"/>
      </rPr>
      <t xml:space="preserve"> los puntos de vista de los demás y retroalimentar de forma constructiva.</t>
    </r>
  </si>
  <si>
    <r>
      <rPr>
        <b/>
        <sz val="12"/>
        <color theme="1"/>
        <rFont val="Calibri"/>
        <family val="2"/>
      </rPr>
      <t>CG6, N2, D1: Diseña</t>
    </r>
    <r>
      <rPr>
        <sz val="12"/>
        <color theme="1"/>
        <rFont val="Calibri"/>
        <family val="2"/>
      </rPr>
      <t xml:space="preserve"> un plan de trabajo, fijando objetivos del grupo y distribuyendo las tareas y responsabilidades.        </t>
    </r>
  </si>
  <si>
    <r>
      <rPr>
        <b/>
        <sz val="12"/>
        <color theme="1"/>
        <rFont val="Calibri"/>
        <family val="2"/>
      </rPr>
      <t>CG6, N2, D2: Evalúa</t>
    </r>
    <r>
      <rPr>
        <sz val="12"/>
        <color theme="1"/>
        <rFont val="Calibri"/>
        <family val="2"/>
      </rPr>
      <t xml:space="preserve"> el proceso de trabajo y los resultados obtenidos. </t>
    </r>
  </si>
  <si>
    <r>
      <rPr>
        <b/>
        <sz val="12"/>
        <color theme="1"/>
        <rFont val="Calibri"/>
        <family val="2"/>
      </rPr>
      <t xml:space="preserve">CG6, N2, D3: Escucha </t>
    </r>
    <r>
      <rPr>
        <sz val="12"/>
        <color theme="1"/>
        <rFont val="Calibri"/>
        <family val="2"/>
      </rPr>
      <t>activamente, analizando y retroalimentando  las ideas de los demás.</t>
    </r>
  </si>
  <si>
    <r>
      <rPr>
        <b/>
        <sz val="12"/>
        <color theme="1"/>
        <rFont val="Calibri"/>
        <family val="2"/>
      </rPr>
      <t>CG6, N3, D1: Propone</t>
    </r>
    <r>
      <rPr>
        <sz val="12"/>
        <color theme="1"/>
        <rFont val="Calibri"/>
        <family val="2"/>
      </rPr>
      <t xml:space="preserve"> y/o desarrolla metodologías de trabajo acordes a los objetivos a alcanzar.</t>
    </r>
  </si>
  <si>
    <r>
      <rPr>
        <b/>
        <sz val="12"/>
        <color theme="1"/>
        <rFont val="Calibri"/>
        <family val="2"/>
      </rPr>
      <t>CG6, N3, D2: Desempeña</t>
    </r>
    <r>
      <rPr>
        <sz val="12"/>
        <color theme="1"/>
        <rFont val="Calibri"/>
        <family val="2"/>
      </rPr>
      <t xml:space="preserve"> distintos roles, según lo requiera la tarea, la etapa del proceso y la conformación del equipo.</t>
    </r>
  </si>
  <si>
    <r>
      <rPr>
        <b/>
        <sz val="12"/>
        <color theme="1"/>
        <rFont val="Calibri"/>
        <family val="2"/>
      </rPr>
      <t>CG6, N3, D3: Evalúa</t>
    </r>
    <r>
      <rPr>
        <sz val="12"/>
        <color theme="1"/>
        <rFont val="Calibri"/>
        <family val="2"/>
      </rPr>
      <t xml:space="preserve"> el funcionamiento y la producción del equipo.</t>
    </r>
  </si>
  <si>
    <r>
      <rPr>
        <b/>
        <sz val="12"/>
        <color theme="1"/>
        <rFont val="Calibri"/>
        <family val="2"/>
      </rPr>
      <t xml:space="preserve">CE1, N1, RA1: Maneja </t>
    </r>
    <r>
      <rPr>
        <sz val="12"/>
        <color theme="1"/>
        <rFont val="Calibri"/>
        <family val="2"/>
      </rPr>
      <t xml:space="preserve">herramientas de Matemática, Física y Química, en un nivel básico, para resolver problemas de ciencias e ingeniería. </t>
    </r>
  </si>
  <si>
    <r>
      <rPr>
        <b/>
        <sz val="12"/>
        <color theme="1"/>
        <rFont val="Calibri"/>
        <family val="2"/>
      </rPr>
      <t xml:space="preserve">CE1, N1, RA2: Utiliza </t>
    </r>
    <r>
      <rPr>
        <sz val="12"/>
        <color theme="1"/>
        <rFont val="Calibri"/>
        <family val="2"/>
      </rPr>
      <t>lógica y argumentación matemática, en diferentes contextos, para resolver problemas simplificados de ciencias e ingeniería.</t>
    </r>
  </si>
  <si>
    <r>
      <rPr>
        <b/>
        <sz val="12"/>
        <color theme="1"/>
        <rFont val="Calibri"/>
        <family val="2"/>
      </rPr>
      <t xml:space="preserve">CE1, N1, RA3: Reconoce </t>
    </r>
    <r>
      <rPr>
        <sz val="12"/>
        <color theme="1"/>
        <rFont val="Calibri"/>
        <family val="2"/>
      </rPr>
      <t xml:space="preserve">estructuras matemáticas, considerando sus propiedades, para resolver problemas simplificados de ciencias e ingeniería. </t>
    </r>
  </si>
  <si>
    <r>
      <rPr>
        <b/>
        <sz val="12"/>
        <color theme="1"/>
        <rFont val="Calibri"/>
        <family val="2"/>
      </rPr>
      <t>CE1, N1, RA4: Identifica</t>
    </r>
    <r>
      <rPr>
        <sz val="12"/>
        <color theme="1"/>
        <rFont val="Calibri"/>
        <family val="2"/>
      </rPr>
      <t xml:space="preserve"> técnicas de Matemática Aplicada en un nivel básico,  para resolver problemas simplificados de ciencias e ingeniería. </t>
    </r>
  </si>
  <si>
    <r>
      <rPr>
        <b/>
        <sz val="12"/>
        <color theme="1"/>
        <rFont val="Calibri"/>
        <family val="2"/>
      </rPr>
      <t xml:space="preserve">CE1, N2, RA1: Demuestra </t>
    </r>
    <r>
      <rPr>
        <sz val="12"/>
        <color theme="1"/>
        <rFont val="Calibri"/>
        <family val="2"/>
      </rPr>
      <t xml:space="preserve">resultados más avanzados en matemáticas, en diferentes contextos, para resolver problemas delimitados de ingeniería, ciencias y tecnología.
</t>
    </r>
  </si>
  <si>
    <r>
      <rPr>
        <b/>
        <sz val="12"/>
        <color theme="1"/>
        <rFont val="Calibri"/>
        <family val="2"/>
      </rPr>
      <t>CE1, N2, RA2: Plantea</t>
    </r>
    <r>
      <rPr>
        <sz val="12"/>
        <color theme="1"/>
        <rFont val="Calibri"/>
        <family val="2"/>
      </rPr>
      <t xml:space="preserve"> ecuaciones diferenciales (ordinarias o en derivadas parciales) a partir de un problema físico delimitado, para lograr su resolución. </t>
    </r>
  </si>
  <si>
    <r>
      <rPr>
        <b/>
        <sz val="12"/>
        <color theme="1"/>
        <rFont val="Calibri"/>
        <family val="2"/>
      </rPr>
      <t>CE1, N2, RA3: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 xml:space="preserve">Formula </t>
    </r>
    <r>
      <rPr>
        <sz val="12"/>
        <color theme="1"/>
        <rFont val="Calibri"/>
        <family val="2"/>
      </rPr>
      <t>problemas de optimización, en contextos generales y en aplicaciones reales, para ayudar a su solución.</t>
    </r>
  </si>
  <si>
    <r>
      <rPr>
        <b/>
        <sz val="12"/>
        <color theme="1"/>
        <rFont val="Calibri"/>
        <family val="2"/>
      </rPr>
      <t>CE1, N2, RA4: Aplica</t>
    </r>
    <r>
      <rPr>
        <sz val="12"/>
        <color theme="1"/>
        <rFont val="Calibri"/>
        <family val="2"/>
      </rPr>
      <t xml:space="preserve"> conceptos y resultados fundamentales, de análisis avanzado, para resolver problemas delimitados de ingeniería, ciencias y tecnología.</t>
    </r>
  </si>
  <si>
    <r>
      <rPr>
        <b/>
        <sz val="12"/>
        <color theme="1"/>
        <rFont val="Calibri"/>
        <family val="2"/>
      </rPr>
      <t xml:space="preserve">CE1, N2, RA5: </t>
    </r>
    <r>
      <rPr>
        <sz val="12"/>
        <color theme="1"/>
        <rFont val="Calibri"/>
        <family val="2"/>
      </rPr>
      <t>Aplica métodos de Matemática Aplicada, básicos y avanzados,  para resolver problemas combinatoriales teóricos y aplicados​.</t>
    </r>
  </si>
  <si>
    <r>
      <rPr>
        <b/>
        <sz val="12"/>
        <color theme="1"/>
        <rFont val="Calibri"/>
        <family val="2"/>
      </rPr>
      <t xml:space="preserve">CE1, N2, RA6: </t>
    </r>
    <r>
      <rPr>
        <sz val="12"/>
        <color theme="1"/>
        <rFont val="Calibri"/>
        <family val="2"/>
      </rPr>
      <t xml:space="preserve">Analiza modelos matemáticos y estadísticos, involucrando incertidumbre y datos, para solucionar problemas  o explicar fenómenos. </t>
    </r>
  </si>
  <si>
    <r>
      <rPr>
        <b/>
        <sz val="12"/>
        <color theme="1"/>
        <rFont val="Calibri"/>
        <family val="2"/>
      </rPr>
      <t>CE1, N2, RA7</t>
    </r>
    <r>
      <rPr>
        <sz val="12"/>
        <color theme="1"/>
        <rFont val="Calibri"/>
        <family val="2"/>
      </rPr>
      <t>: Maneja herramientas avanzadas de la Física, en contextos generales y en aplicaciones reales, para solucionar problemasdelimitados de ingeniería, ciencias y tecnología.</t>
    </r>
  </si>
  <si>
    <r>
      <rPr>
        <b/>
        <sz val="12"/>
        <color theme="1"/>
        <rFont val="Calibri"/>
        <family val="2"/>
      </rPr>
      <t>CE1, N3, RA1</t>
    </r>
    <r>
      <rPr>
        <sz val="12"/>
        <color theme="1"/>
        <rFont val="Calibri"/>
        <family val="2"/>
      </rPr>
      <t xml:space="preserve">: </t>
    </r>
    <r>
      <rPr>
        <b/>
        <sz val="12"/>
        <color theme="1"/>
        <rFont val="Calibri"/>
        <family val="2"/>
      </rPr>
      <t xml:space="preserve">Fundamenta </t>
    </r>
    <r>
      <rPr>
        <sz val="12"/>
        <color theme="1"/>
        <rFont val="Calibri"/>
        <family val="2"/>
      </rPr>
      <t xml:space="preserve">los modelos y estrategias usados en la resolución del problema, para su comprensión y resolución. </t>
    </r>
  </si>
  <si>
    <r>
      <rPr>
        <b/>
        <sz val="12"/>
        <color theme="1"/>
        <rFont val="Calibri"/>
        <family val="2"/>
      </rPr>
      <t>CE1, N3, RA2:</t>
    </r>
    <r>
      <rPr>
        <sz val="12"/>
        <color theme="1"/>
        <rFont val="Calibri"/>
        <family val="2"/>
      </rPr>
      <t xml:space="preserve">  </t>
    </r>
    <r>
      <rPr>
        <b/>
        <sz val="12"/>
        <color theme="1"/>
        <rFont val="Calibri"/>
        <family val="2"/>
      </rPr>
      <t xml:space="preserve">Formula </t>
    </r>
    <r>
      <rPr>
        <sz val="12"/>
        <color theme="1"/>
        <rFont val="Calibri"/>
        <family val="2"/>
      </rPr>
      <t>modelos y aplica métodos matemáticos, avanzados en la resolución de ecuaciones en derivadas parciales para problemas físicos complejos.</t>
    </r>
  </si>
  <si>
    <r>
      <rPr>
        <b/>
        <sz val="12"/>
        <color theme="1"/>
        <rFont val="Calibri"/>
        <family val="2"/>
      </rPr>
      <t>CE1, N3, RA3:  Formula</t>
    </r>
    <r>
      <rPr>
        <sz val="12"/>
        <color theme="1"/>
        <rFont val="Calibri"/>
        <family val="2"/>
      </rPr>
      <t xml:space="preserve"> modelos y aplica métodos probabilísticos y estadísticos, avanzados e involucrando incertidumbre,  para el estudio de fenómenos.</t>
    </r>
  </si>
  <si>
    <r>
      <rPr>
        <b/>
        <sz val="12"/>
        <color theme="1"/>
        <rFont val="Calibri"/>
        <family val="2"/>
      </rPr>
      <t>CE2, N1, RA1: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Maneja</t>
    </r>
    <r>
      <rPr>
        <sz val="12"/>
        <color theme="1"/>
        <rFont val="Calibri"/>
        <family val="2"/>
      </rPr>
      <t xml:space="preserve"> software matemáticos, estadísticos y lenguaje de programación, en un nivel básico, para resolver problemas simplificados de ingeniería.</t>
    </r>
  </si>
  <si>
    <r>
      <rPr>
        <b/>
        <sz val="12"/>
        <color theme="1"/>
        <rFont val="Calibri"/>
        <family val="2"/>
      </rPr>
      <t>CE2, N1, RA2: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Diseña</t>
    </r>
    <r>
      <rPr>
        <sz val="12"/>
        <color theme="1"/>
        <rFont val="Calibri"/>
        <family val="2"/>
      </rPr>
      <t xml:space="preserve"> algoritmos y análisis de costo computacional, aplicando principios básicos, para resolver problemas simplificados de ingeniería.</t>
    </r>
  </si>
  <si>
    <r>
      <rPr>
        <b/>
        <sz val="12"/>
        <color theme="1"/>
        <rFont val="Calibri"/>
        <family val="2"/>
      </rPr>
      <t>CE2, N1, RA3: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 xml:space="preserve"> Plantea </t>
    </r>
    <r>
      <rPr>
        <sz val="12"/>
        <color theme="1"/>
        <rFont val="Calibri"/>
        <family val="2"/>
      </rPr>
      <t xml:space="preserve">problemas simplificados de ingeniería, matemáticamente, para facilitar su interpretación y solución. </t>
    </r>
  </si>
  <si>
    <r>
      <rPr>
        <b/>
        <sz val="12"/>
        <color theme="1"/>
        <rFont val="Calibri"/>
        <family val="2"/>
      </rPr>
      <t>CE2, N1, RA4: Aplica</t>
    </r>
    <r>
      <rPr>
        <sz val="12"/>
        <color theme="1"/>
        <rFont val="Calibri"/>
        <family val="2"/>
      </rPr>
      <t xml:space="preserve"> técnicas  matemáticas y computacionales,  en un nivel básico, para resolver problemas simplificados de ingeniería.</t>
    </r>
  </si>
  <si>
    <r>
      <rPr>
        <b/>
        <sz val="12"/>
        <color theme="1"/>
        <rFont val="Calibri"/>
        <family val="2"/>
      </rPr>
      <t xml:space="preserve">CE2, N2, RA1: Implementa </t>
    </r>
    <r>
      <rPr>
        <sz val="12"/>
        <color theme="1"/>
        <rFont val="Calibri"/>
        <family val="2"/>
      </rPr>
      <t>modelos matemáticos y estadísticos, computacionalmente,  involucrando incertidumbre y datos, para simular e investigar problemas y fenómenos.</t>
    </r>
  </si>
  <si>
    <r>
      <rPr>
        <b/>
        <sz val="12"/>
        <color theme="1"/>
        <rFont val="Calibri"/>
        <family val="2"/>
      </rPr>
      <t xml:space="preserve">CE2, N2, RA2: </t>
    </r>
    <r>
      <rPr>
        <sz val="12"/>
        <color theme="1"/>
        <rFont val="Calibri"/>
        <family val="2"/>
      </rPr>
      <t>​</t>
    </r>
    <r>
      <rPr>
        <b/>
        <sz val="12"/>
        <color theme="1"/>
        <rFont val="Calibri"/>
        <family val="2"/>
      </rPr>
      <t xml:space="preserve">Usa </t>
    </r>
    <r>
      <rPr>
        <sz val="12"/>
        <color theme="1"/>
        <rFont val="Calibri"/>
        <family val="2"/>
      </rPr>
      <t>herramientas ​matemáticas en un nivel avanzado, para diseñar algoritmos y analizar el coste computacional de los mismos.</t>
    </r>
  </si>
  <si>
    <r>
      <rPr>
        <b/>
        <sz val="12"/>
        <color theme="1"/>
        <rFont val="Calibri"/>
        <family val="2"/>
      </rPr>
      <t>CE2, N2, RA3: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 xml:space="preserve">Aplica </t>
    </r>
    <r>
      <rPr>
        <sz val="12"/>
        <color theme="1"/>
        <rFont val="Calibri"/>
        <family val="2"/>
      </rPr>
      <t xml:space="preserve">métodos matemáticos en un nivel avanzado,  para la resolución numérica de problemas de álgebra lineal y de análisis.  </t>
    </r>
  </si>
  <si>
    <r>
      <rPr>
        <b/>
        <sz val="12"/>
        <color theme="1"/>
        <rFont val="Calibri"/>
        <family val="2"/>
      </rPr>
      <t xml:space="preserve">CE2, N2, RA4: </t>
    </r>
    <r>
      <rPr>
        <sz val="12"/>
        <color theme="1"/>
        <rFont val="Calibri"/>
        <family val="2"/>
      </rPr>
      <t xml:space="preserve">Implementa métodos numéricos,  computacionalmente, para simular e investigar soluciones de edp y problemas de optimización. </t>
    </r>
  </si>
  <si>
    <r>
      <rPr>
        <b/>
        <sz val="12"/>
        <color theme="1"/>
        <rFont val="Calibri"/>
        <family val="2"/>
      </rPr>
      <t>CE2, N3, RA1: Genera soluciones</t>
    </r>
    <r>
      <rPr>
        <sz val="12"/>
        <color theme="1"/>
        <rFont val="Calibri"/>
        <family val="2"/>
      </rPr>
      <t xml:space="preserve">, en contextos reales y multidisciplinarios,   de manera autónoma y colaborativa, a problemas de ingeniería, ciencias y tecnología. </t>
    </r>
  </si>
  <si>
    <r>
      <rPr>
        <b/>
        <sz val="12"/>
        <color theme="1"/>
        <rFont val="Calibri"/>
        <family val="2"/>
      </rPr>
      <t xml:space="preserve">CE2, N3, RA2: </t>
    </r>
    <r>
      <rPr>
        <sz val="12"/>
        <color theme="1"/>
        <rFont val="Calibri"/>
        <family val="2"/>
      </rPr>
      <t xml:space="preserve">Planifica el proceso de  implementación de la solución propuesta, en base a herramientas avanzadas de matemáticas, para solucionar problemas complejos  </t>
    </r>
  </si>
  <si>
    <r>
      <rPr>
        <b/>
        <sz val="12"/>
        <color theme="1"/>
        <rFont val="Calibri"/>
        <family val="2"/>
      </rPr>
      <t>CE2, N3, RA3</t>
    </r>
    <r>
      <rPr>
        <sz val="12"/>
        <color theme="1"/>
        <rFont val="Calibri"/>
        <family val="2"/>
      </rPr>
      <t>: Valida procesos y métodos optimizándolos, para lograr la eficiencia de la solución propuesta.</t>
    </r>
  </si>
  <si>
    <r>
      <rPr>
        <b/>
        <sz val="12"/>
        <color theme="1"/>
        <rFont val="Calibri"/>
        <family val="2"/>
      </rPr>
      <t>CE2, N3, RA4:</t>
    </r>
    <r>
      <rPr>
        <sz val="12"/>
        <color theme="1"/>
        <rFont val="Calibri"/>
        <family val="2"/>
      </rPr>
      <t xml:space="preserve"> Fundamenta la factibilidad de la resolución del problema propuesto, indicando su complejidad, para  lograr la eficiencia de la solución.</t>
    </r>
  </si>
  <si>
    <r>
      <rPr>
        <b/>
        <sz val="12"/>
        <color theme="1"/>
        <rFont val="Calibri"/>
        <family val="2"/>
      </rPr>
      <t>CE2, N3, RA5</t>
    </r>
    <r>
      <rPr>
        <sz val="12"/>
        <color theme="1"/>
        <rFont val="Calibri"/>
        <family val="2"/>
      </rPr>
      <t>: Simula métodos matemáticos avanzados en la resolución de ecuaciones en derivadas parciales, para problemas físicos complejos.</t>
    </r>
  </si>
  <si>
    <r>
      <rPr>
        <b/>
        <sz val="12"/>
        <color theme="1"/>
        <rFont val="Calibri"/>
        <family val="2"/>
      </rPr>
      <t>CE2, N3, RA6:</t>
    </r>
    <r>
      <rPr>
        <sz val="12"/>
        <color theme="1"/>
        <rFont val="Calibri"/>
        <family val="2"/>
      </rPr>
      <t xml:space="preserve"> Implementa modelos probabilísticos y estadísticos, a través de su diseño y análisis,  para la ingeniería financiera, la energía, biología y gestión de recursos, entre otros.</t>
    </r>
  </si>
  <si>
    <t>N1</t>
  </si>
  <si>
    <t>ICM 111</t>
  </si>
  <si>
    <t>Fundamentos de Matemáticas</t>
  </si>
  <si>
    <t>X</t>
  </si>
  <si>
    <t>ICM 112</t>
  </si>
  <si>
    <t>Algebra</t>
  </si>
  <si>
    <t>ICM 113</t>
  </si>
  <si>
    <t>Quimica General</t>
  </si>
  <si>
    <t>ICM 114</t>
  </si>
  <si>
    <t>Introd. a la Ingeniería Matematica</t>
  </si>
  <si>
    <t>ICM 115</t>
  </si>
  <si>
    <t>Desarrollo Personal I</t>
  </si>
  <si>
    <t>ICM 121</t>
  </si>
  <si>
    <t>Cálculo Diferencial</t>
  </si>
  <si>
    <t>ICM 122</t>
  </si>
  <si>
    <t>Álgebra Líneal</t>
  </si>
  <si>
    <t>ICM 123</t>
  </si>
  <si>
    <t>Fundamentos de Física</t>
  </si>
  <si>
    <t>ICM 124</t>
  </si>
  <si>
    <t xml:space="preserve">Programación </t>
  </si>
  <si>
    <t>ICM 125</t>
  </si>
  <si>
    <t>Desarrollo Personal II</t>
  </si>
  <si>
    <t>ICM 211</t>
  </si>
  <si>
    <t>Cálculo Integral y Series</t>
  </si>
  <si>
    <t>ICM 212</t>
  </si>
  <si>
    <t xml:space="preserve">Álgebra Moderna </t>
  </si>
  <si>
    <t>ICM 213</t>
  </si>
  <si>
    <t xml:space="preserve">Física Mecánica </t>
  </si>
  <si>
    <t>ICM 214</t>
  </si>
  <si>
    <t xml:space="preserve">Introducción a los Algoritmos </t>
  </si>
  <si>
    <t>ICM 215</t>
  </si>
  <si>
    <t>Idioma I</t>
  </si>
  <si>
    <t>ICM 221</t>
  </si>
  <si>
    <t>Cálculo en varias variables</t>
  </si>
  <si>
    <t>ICM 222</t>
  </si>
  <si>
    <t>Ecuaciones Diferenciales</t>
  </si>
  <si>
    <t>ICM 223</t>
  </si>
  <si>
    <t>Física Calor, Ondas y Óptica</t>
  </si>
  <si>
    <t>ICM 224</t>
  </si>
  <si>
    <t>Análisis Real I</t>
  </si>
  <si>
    <t>N2</t>
  </si>
  <si>
    <t>ICM 311</t>
  </si>
  <si>
    <t>Análisis Real II</t>
  </si>
  <si>
    <t>ICM 312</t>
  </si>
  <si>
    <t>Análisis Complejo</t>
  </si>
  <si>
    <t>ICM 313</t>
  </si>
  <si>
    <t>Física Electromagnetismo</t>
  </si>
  <si>
    <t>ICM 314</t>
  </si>
  <si>
    <t>Análisis Numérico I</t>
  </si>
  <si>
    <t>ICM 315</t>
  </si>
  <si>
    <t>Idioma II</t>
  </si>
  <si>
    <t xml:space="preserve"> </t>
  </si>
  <si>
    <t>ICM 316</t>
  </si>
  <si>
    <t xml:space="preserve">Práctica Básica </t>
  </si>
  <si>
    <t>ICM 321</t>
  </si>
  <si>
    <t>Probabilidad y Estadística</t>
  </si>
  <si>
    <t>ICM 322</t>
  </si>
  <si>
    <t>Análisis funcional</t>
  </si>
  <si>
    <t>ICM 323</t>
  </si>
  <si>
    <t>Optimización I</t>
  </si>
  <si>
    <t>ICM 324</t>
  </si>
  <si>
    <t>Ecuaciones Diferenciales Cualitativas</t>
  </si>
  <si>
    <t>ICM 325</t>
  </si>
  <si>
    <t>Idioma III</t>
  </si>
  <si>
    <t>ICM 326</t>
  </si>
  <si>
    <t xml:space="preserve">TIPE I </t>
  </si>
  <si>
    <t>x</t>
  </si>
  <si>
    <t>ICM 411</t>
  </si>
  <si>
    <t>Inferencia estadística</t>
  </si>
  <si>
    <t>ICM 412</t>
  </si>
  <si>
    <t>Probalidad Avanzada</t>
  </si>
  <si>
    <t>ICM 413</t>
  </si>
  <si>
    <t>Combinatoria y Matemáticas discretas</t>
  </si>
  <si>
    <t>ICM 414</t>
  </si>
  <si>
    <t>Introducción a las EDP</t>
  </si>
  <si>
    <t>ICM 415</t>
  </si>
  <si>
    <t>Tipe II</t>
  </si>
  <si>
    <t>ICM 421</t>
  </si>
  <si>
    <t>Modelación estadística I</t>
  </si>
  <si>
    <t>ICM 422</t>
  </si>
  <si>
    <t>Procesos estocásticos y aplicaciones I</t>
  </si>
  <si>
    <t>ICM 423</t>
  </si>
  <si>
    <t>Optimización II</t>
  </si>
  <si>
    <t>ICM 424</t>
  </si>
  <si>
    <t>Economía</t>
  </si>
  <si>
    <t>ICM 425</t>
  </si>
  <si>
    <t>Taller de integración: Simulación y métodos numéricos</t>
  </si>
  <si>
    <t>ICM 426</t>
  </si>
  <si>
    <t>Tipe III</t>
  </si>
  <si>
    <t>N3</t>
  </si>
  <si>
    <t>ICM 511</t>
  </si>
  <si>
    <t>Modelación estadística II</t>
  </si>
  <si>
    <t>ICM 512</t>
  </si>
  <si>
    <t>Procesos estocásticos y aplicaciones II</t>
  </si>
  <si>
    <t>ICM 513</t>
  </si>
  <si>
    <t>Electivo de ingeniería</t>
  </si>
  <si>
    <t>ICM 514</t>
  </si>
  <si>
    <t>Análisis Numérico II</t>
  </si>
  <si>
    <t>ICM 515</t>
  </si>
  <si>
    <t>Electivo de Ingeniería</t>
  </si>
  <si>
    <t>ICM 521</t>
  </si>
  <si>
    <t>Proyecto de Ingeniería</t>
  </si>
  <si>
    <t>ICM 522</t>
  </si>
  <si>
    <t>ICM 523</t>
  </si>
  <si>
    <t>ICM 524</t>
  </si>
  <si>
    <t>ICM 611</t>
  </si>
  <si>
    <t>Taller de título</t>
  </si>
  <si>
    <t>ICM 612</t>
  </si>
  <si>
    <t>Práctica Profesional II</t>
  </si>
  <si>
    <t xml:space="preserve">V1 MPAC, Marzo 2017 Coordinación de Docencia FACING, V2 MPAC Octubre 2018, Coordinación de Docencia FACING. </t>
  </si>
  <si>
    <t>Área de desempeño ¿?</t>
  </si>
  <si>
    <r>
      <rPr>
        <b/>
        <sz val="12"/>
        <color theme="1"/>
        <rFont val="Calibri"/>
        <family val="2"/>
      </rPr>
      <t xml:space="preserve">CE1, N1, RA1: Maneja </t>
    </r>
    <r>
      <rPr>
        <sz val="12"/>
        <color theme="1"/>
        <rFont val="Calibri"/>
        <family val="2"/>
      </rPr>
      <t xml:space="preserve">herramientas de matemática, Física y Química, en un nivel básico, para resolver problemas de ciencias e ingeniería. </t>
    </r>
  </si>
  <si>
    <r>
      <rPr>
        <b/>
        <sz val="12"/>
        <color theme="1"/>
        <rFont val="Calibri"/>
        <family val="2"/>
      </rPr>
      <t xml:space="preserve">CE1, N1, RA2: Utiliza </t>
    </r>
    <r>
      <rPr>
        <sz val="12"/>
        <color theme="1"/>
        <rFont val="Calibri"/>
        <family val="2"/>
      </rPr>
      <t xml:space="preserve">lógica y argumentación matemática en diferentes contextos, para resolver problemas simplificados de ciencias e ingeniería. </t>
    </r>
  </si>
  <si>
    <r>
      <rPr>
        <b/>
        <sz val="12"/>
        <color theme="1"/>
        <rFont val="Calibri"/>
        <family val="2"/>
      </rPr>
      <t xml:space="preserve">CE1, N1, RA3: Reconoce </t>
    </r>
    <r>
      <rPr>
        <sz val="12"/>
        <color theme="1"/>
        <rFont val="Calibri"/>
        <family val="2"/>
      </rPr>
      <t xml:space="preserve">estructuras matemáticas considerando sus propiedades para resolver problemas simplificados de ciencias e ingeniería. </t>
    </r>
  </si>
  <si>
    <r>
      <rPr>
        <b/>
        <sz val="12"/>
        <color theme="1"/>
        <rFont val="Calibri"/>
        <family val="2"/>
      </rPr>
      <t>CE1, N2, RA3: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 xml:space="preserve">Formula </t>
    </r>
    <r>
      <rPr>
        <sz val="12"/>
        <color theme="1"/>
        <rFont val="Calibri"/>
        <family val="2"/>
      </rPr>
      <t>problemas de optimización, en contextos generales y en aplicaciones reales, para ayudar a su solucion.</t>
    </r>
  </si>
  <si>
    <r>
      <rPr>
        <b/>
        <sz val="12"/>
        <color theme="1"/>
        <rFont val="Calibri"/>
        <family val="2"/>
      </rPr>
      <t>CE1-N3-RA1</t>
    </r>
    <r>
      <rPr>
        <sz val="12"/>
        <color theme="1"/>
        <rFont val="Calibri"/>
        <family val="2"/>
      </rPr>
      <t xml:space="preserve">: </t>
    </r>
    <r>
      <rPr>
        <b/>
        <sz val="12"/>
        <color theme="1"/>
        <rFont val="Calibri"/>
        <family val="2"/>
      </rPr>
      <t xml:space="preserve">Fundamenta </t>
    </r>
    <r>
      <rPr>
        <sz val="12"/>
        <color theme="1"/>
        <rFont val="Calibri"/>
        <family val="2"/>
      </rPr>
      <t xml:space="preserve">los modelos y estrategias usados en la resolución del problema, para su comprensión y resolución. </t>
    </r>
  </si>
  <si>
    <r>
      <rPr>
        <b/>
        <sz val="12"/>
        <color theme="1"/>
        <rFont val="Calibri"/>
        <family val="2"/>
      </rPr>
      <t>CE1-N3-RA2:</t>
    </r>
    <r>
      <rPr>
        <sz val="12"/>
        <color theme="1"/>
        <rFont val="Calibri"/>
        <family val="2"/>
      </rPr>
      <t xml:space="preserve">  Formula modelos y aplica métodos matemáticos, avanzados en la resolución de ecuaciones en derivadas parciales para problemas físicos complejos.</t>
    </r>
  </si>
  <si>
    <r>
      <rPr>
        <b/>
        <sz val="12"/>
        <color theme="1"/>
        <rFont val="Calibri"/>
        <family val="2"/>
      </rPr>
      <t xml:space="preserve">CE1, N3, RA3:  </t>
    </r>
    <r>
      <rPr>
        <sz val="12"/>
        <color theme="1"/>
        <rFont val="Calibri"/>
        <family val="2"/>
      </rPr>
      <t>Formula modelos y aplica métodos probabilísticos y estadísticos, avanzados e involucrando incertidumbre,  para el estudio de fenómenos.</t>
    </r>
  </si>
  <si>
    <t>REDACCIÓN DE RESULTADOS DE APRENDIZAJE</t>
  </si>
  <si>
    <t xml:space="preserve">NIVEL </t>
  </si>
  <si>
    <t>VERBO</t>
  </si>
  <si>
    <t>OBJETO</t>
  </si>
  <si>
    <t xml:space="preserve">CONDICIÓN </t>
  </si>
  <si>
    <t xml:space="preserve">FINALIDAD </t>
  </si>
  <si>
    <t xml:space="preserve">Maneja </t>
  </si>
  <si>
    <t>herramientas de matemática, Física y Química</t>
  </si>
  <si>
    <t>en un nivel básico</t>
  </si>
  <si>
    <t>para resolver problemas de ciencias e ingeniería.</t>
  </si>
  <si>
    <t xml:space="preserve">Demuestra </t>
  </si>
  <si>
    <t xml:space="preserve">resultados más avanzados en matemáticas, </t>
  </si>
  <si>
    <t>en diferentes contextos</t>
  </si>
  <si>
    <t>para resolver problemas delimitados de ingeniería, ciencias y tecnología.</t>
  </si>
  <si>
    <t xml:space="preserve">Fundamenta </t>
  </si>
  <si>
    <t>los modelos y estrategias,</t>
  </si>
  <si>
    <t>usados en la resolución del problema,</t>
  </si>
  <si>
    <t xml:space="preserve">para su comprensión y resolución. </t>
  </si>
  <si>
    <r>
      <rPr>
        <b/>
        <sz val="12"/>
        <color theme="1"/>
        <rFont val="Calibri"/>
        <family val="2"/>
      </rPr>
      <t xml:space="preserve">CE1, N1, RA2: </t>
    </r>
    <r>
      <rPr>
        <sz val="12"/>
        <color theme="1"/>
        <rFont val="Calibri"/>
        <family val="2"/>
      </rPr>
      <t>Utiliza lógica y argumentación matemática en diferentes contextos, para resolver problemas simplificados de ciencias e ingeniería.</t>
    </r>
  </si>
  <si>
    <t xml:space="preserve">Utiliza </t>
  </si>
  <si>
    <t xml:space="preserve">lógica y argumentación matemática </t>
  </si>
  <si>
    <t>en diferentes contextos,</t>
  </si>
  <si>
    <t xml:space="preserve">para resolver problemas simplificados de ciencias e ingeniería. </t>
  </si>
  <si>
    <t>Plantea</t>
  </si>
  <si>
    <t xml:space="preserve">ecuaciones diferenciales (ordinarias o en derivadas parciales), </t>
  </si>
  <si>
    <t xml:space="preserve">a partir de un problema físico delimitado, </t>
  </si>
  <si>
    <t xml:space="preserve">para lograr su resolución. </t>
  </si>
  <si>
    <t xml:space="preserve">Formula </t>
  </si>
  <si>
    <t xml:space="preserve">modelos y aplica métodos matemáticos, </t>
  </si>
  <si>
    <t xml:space="preserve">avanzados en la resolución de ecuaciones en derivadas parciales,  </t>
  </si>
  <si>
    <t>para problemas físicos complejos.</t>
  </si>
  <si>
    <t xml:space="preserve">Reconoce </t>
  </si>
  <si>
    <t>estructuras matemáticas,</t>
  </si>
  <si>
    <t>considerando sus propiedades,</t>
  </si>
  <si>
    <t xml:space="preserve">N2 </t>
  </si>
  <si>
    <t xml:space="preserve">problemas de optimización, </t>
  </si>
  <si>
    <t xml:space="preserve">en contextos generales y en aplicaciones reales, </t>
  </si>
  <si>
    <t>para ayudar a su solucion.</t>
  </si>
  <si>
    <t xml:space="preserve">modelos y aplica métodos probabilísticos y estadísticos, </t>
  </si>
  <si>
    <t>avanzados e involucrando incertidumbre,</t>
  </si>
  <si>
    <t xml:space="preserve">para el estudio de fenómenos. </t>
  </si>
  <si>
    <r>
      <rPr>
        <b/>
        <sz val="12"/>
        <color theme="1"/>
        <rFont val="Calibri"/>
        <family val="2"/>
      </rPr>
      <t>CE1, N1, RA4: Identifica</t>
    </r>
    <r>
      <rPr>
        <sz val="12"/>
        <color theme="1"/>
        <rFont val="Calibri"/>
        <family val="2"/>
      </rPr>
      <t xml:space="preserve"> técnicas de matemática Aplicada, en un nivel básico,  para resolver problemas simplificados de ciencias e ingeniería. </t>
    </r>
  </si>
  <si>
    <t xml:space="preserve">Identifica </t>
  </si>
  <si>
    <t>técnicas de matemática Aplicada,</t>
  </si>
  <si>
    <t>en un nivel básico,</t>
  </si>
  <si>
    <t xml:space="preserve">Aplica </t>
  </si>
  <si>
    <t xml:space="preserve">conceptos y resultados fundamentales, </t>
  </si>
  <si>
    <t xml:space="preserve">de análisis avanzado, </t>
  </si>
  <si>
    <t xml:space="preserve">métodos de Matemática Aplicada, </t>
  </si>
  <si>
    <t>básicos y avanzados,</t>
  </si>
  <si>
    <t>para resolver problemas combinatoriales teóricos y aplicados​.</t>
  </si>
  <si>
    <t>Analiza</t>
  </si>
  <si>
    <t xml:space="preserve"> modelos matemáticos y estadísticos, </t>
  </si>
  <si>
    <t xml:space="preserve">involucrando incertidumbre y datos, </t>
  </si>
  <si>
    <t>para solucionar problemas  o explicar fenómenos.</t>
  </si>
  <si>
    <t xml:space="preserve">herramientas avanzadas de la Física, </t>
  </si>
  <si>
    <t>para solucionar problemasdelimitados de ingeniería, ciencias y tecnología.</t>
  </si>
  <si>
    <r>
      <rPr>
        <b/>
        <sz val="12"/>
        <color theme="1"/>
        <rFont val="Calibri"/>
        <family val="2"/>
      </rPr>
      <t>CE2, N1, RA2: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 xml:space="preserve">Diseña </t>
    </r>
    <r>
      <rPr>
        <sz val="12"/>
        <color theme="1"/>
        <rFont val="Calibri"/>
        <family val="2"/>
      </rPr>
      <t>algoritmos y análisis de costo computacional, aplicando principios básicos, para resolver problemas simplificados de ingeniería.</t>
    </r>
  </si>
  <si>
    <r>
      <rPr>
        <b/>
        <sz val="12"/>
        <color theme="1"/>
        <rFont val="Calibri"/>
        <family val="2"/>
      </rPr>
      <t>CE2, N2, RA1: Implementa</t>
    </r>
    <r>
      <rPr>
        <sz val="12"/>
        <color theme="1"/>
        <rFont val="Calibri"/>
        <family val="2"/>
      </rPr>
      <t>modelos matemáticos y estadísticos computacionalmente,  involucrando incertidumbre y datos, para simular e investigar problemas y fenómenos.</t>
    </r>
  </si>
  <si>
    <r>
      <rPr>
        <b/>
        <sz val="12"/>
        <color theme="1"/>
        <rFont val="Calibri"/>
        <family val="2"/>
      </rPr>
      <t xml:space="preserve">CE2-N2-RA4: </t>
    </r>
    <r>
      <rPr>
        <sz val="12"/>
        <color theme="1"/>
        <rFont val="Calibri"/>
        <family val="2"/>
      </rPr>
      <t xml:space="preserve">Implementa métodos numéricos,  computacionalmente, para simular e investigar soluciones de edp y problemas de optimización. </t>
    </r>
  </si>
  <si>
    <r>
      <rPr>
        <b/>
        <sz val="12"/>
        <color theme="1"/>
        <rFont val="Calibri"/>
        <family val="2"/>
      </rPr>
      <t xml:space="preserve">CE2-N3-RA1: </t>
    </r>
    <r>
      <rPr>
        <sz val="12"/>
        <color theme="1"/>
        <rFont val="Calibri"/>
        <family val="2"/>
      </rPr>
      <t xml:space="preserve">Genera soluciones, en contextos reales y multidisciplinarios,   de manera autónoma y colaborativa, a problemas de ingeniería, ciencias y tecnología. </t>
    </r>
  </si>
  <si>
    <r>
      <rPr>
        <b/>
        <sz val="12"/>
        <color theme="1"/>
        <rFont val="Calibri"/>
        <family val="2"/>
      </rPr>
      <t xml:space="preserve">CE2-N3-RA2: </t>
    </r>
    <r>
      <rPr>
        <sz val="12"/>
        <color theme="1"/>
        <rFont val="Calibri"/>
        <family val="2"/>
      </rPr>
      <t xml:space="preserve">Planifica el proceso de  implementación de la solución propuesta, en base a herramientas avanzadas de matemáticas, para solucionar problemas complejos  </t>
    </r>
  </si>
  <si>
    <r>
      <rPr>
        <b/>
        <sz val="12"/>
        <color theme="1"/>
        <rFont val="Calibri"/>
        <family val="2"/>
      </rPr>
      <t>CE2-N3-RA3</t>
    </r>
    <r>
      <rPr>
        <sz val="12"/>
        <color theme="1"/>
        <rFont val="Calibri"/>
        <family val="2"/>
      </rPr>
      <t>: Valida procesos y métodos optimizándolos, para lograr la eficiencia de la solución propuesta.</t>
    </r>
  </si>
  <si>
    <r>
      <rPr>
        <b/>
        <sz val="12"/>
        <color theme="1"/>
        <rFont val="Calibri"/>
        <family val="2"/>
      </rPr>
      <t>CE2-N3-RA4:</t>
    </r>
    <r>
      <rPr>
        <sz val="12"/>
        <color theme="1"/>
        <rFont val="Calibri"/>
        <family val="2"/>
      </rPr>
      <t xml:space="preserve"> Fundamenta la factibilidad de la resolución del problema propuesto, indicando su complejidad, para  lograr la eficiencia de la solución.</t>
    </r>
  </si>
  <si>
    <r>
      <rPr>
        <b/>
        <sz val="12"/>
        <color theme="1"/>
        <rFont val="Calibri"/>
        <family val="2"/>
      </rPr>
      <t>CE2-N3-RA5</t>
    </r>
    <r>
      <rPr>
        <sz val="12"/>
        <color theme="1"/>
        <rFont val="Calibri"/>
        <family val="2"/>
      </rPr>
      <t>: Simula métodos matemáticos avanzados en la resolución de ecuaciones en derivadas parciales, para problemas físicos complejos.</t>
    </r>
  </si>
  <si>
    <r>
      <rPr>
        <b/>
        <sz val="12"/>
        <color theme="1"/>
        <rFont val="Calibri"/>
        <family val="2"/>
      </rPr>
      <t>CE2-N3-RA6:</t>
    </r>
    <r>
      <rPr>
        <sz val="12"/>
        <color theme="1"/>
        <rFont val="Calibri"/>
        <family val="2"/>
      </rPr>
      <t xml:space="preserve"> Implementa modelos probabilísticos y estadísticos, a través de su diseño y análisis,  para la ingeniería financiera, la energía, biología y gestión de recursos, entre otros.</t>
    </r>
  </si>
  <si>
    <t>RA</t>
  </si>
  <si>
    <t xml:space="preserve">software matemáticos, estadísticos y lenguaje de programación, </t>
  </si>
  <si>
    <t>para resolver problemas simplificados de ingeniería.</t>
  </si>
  <si>
    <r>
      <rPr>
        <b/>
        <sz val="12"/>
        <color theme="1"/>
        <rFont val="Calibri"/>
        <family val="2"/>
      </rPr>
      <t>CE2, N2, RA1: Implementa</t>
    </r>
    <r>
      <rPr>
        <sz val="12"/>
        <color theme="1"/>
        <rFont val="Calibri"/>
        <family val="2"/>
      </rPr>
      <t>modelos matemáticos y estadísticos computacionalmente,  involucrando incertidumbre y datos, para simular e investigar problemas y fenómenos</t>
    </r>
  </si>
  <si>
    <t xml:space="preserve">Implementa </t>
  </si>
  <si>
    <t xml:space="preserve">modelos matemáticos y estadísticos, </t>
  </si>
  <si>
    <t xml:space="preserve">computacionalmente, involucrando incertidumbre y datos, </t>
  </si>
  <si>
    <t xml:space="preserve">para simular e investigar problemas y fenómenos.  </t>
  </si>
  <si>
    <t xml:space="preserve">Genera </t>
  </si>
  <si>
    <t>soluciones,</t>
  </si>
  <si>
    <t>en contextos reales y multidisciplinarios, de manera autónoma y colaborativa,</t>
  </si>
  <si>
    <t xml:space="preserve">a problemas de ingeniería, ciencias y tecnología.  </t>
  </si>
  <si>
    <t>Diseña</t>
  </si>
  <si>
    <t xml:space="preserve">algoritmos y análisis de costo computacional, </t>
  </si>
  <si>
    <t xml:space="preserve">aplicando principios básicos, </t>
  </si>
  <si>
    <t xml:space="preserve">Usa </t>
  </si>
  <si>
    <t xml:space="preserve">herramientas ​matemáticas </t>
  </si>
  <si>
    <t>en un nivel avanzado</t>
  </si>
  <si>
    <t>para diseñar algoritmos y analizar el coste computacional de los mismos.</t>
  </si>
  <si>
    <r>
      <rPr>
        <b/>
        <sz val="12"/>
        <color theme="1"/>
        <rFont val="Calibri"/>
        <family val="2"/>
      </rPr>
      <t xml:space="preserve">CE2-N3-RA2: </t>
    </r>
    <r>
      <rPr>
        <sz val="12"/>
        <color theme="1"/>
        <rFont val="Calibri"/>
        <family val="2"/>
      </rPr>
      <t xml:space="preserve">Planifica el proceso de  implementación de la solución propuesta, en base a herramientas avanzadas de matemáticas para solucionar problemas complejos  </t>
    </r>
  </si>
  <si>
    <t>Planifica</t>
  </si>
  <si>
    <t>el proceso de  implementación de la solución propuesta,</t>
  </si>
  <si>
    <t xml:space="preserve">en base a herramientas avanzadas de matemáticas </t>
  </si>
  <si>
    <t xml:space="preserve">para solucionar problemas complejos </t>
  </si>
  <si>
    <t xml:space="preserve">Plantea </t>
  </si>
  <si>
    <t xml:space="preserve">problemas simplificados de ingeniería, </t>
  </si>
  <si>
    <t xml:space="preserve">matemáticamente, </t>
  </si>
  <si>
    <t xml:space="preserve">para facilitar su interpretación y solución. </t>
  </si>
  <si>
    <t xml:space="preserve">métodos matemáticos </t>
  </si>
  <si>
    <t xml:space="preserve">para la resolución numérica de problemas de álgebra lineal y de análisis.  </t>
  </si>
  <si>
    <t xml:space="preserve">Valida </t>
  </si>
  <si>
    <t xml:space="preserve">procesos y métodos </t>
  </si>
  <si>
    <t xml:space="preserve">optimizándolos </t>
  </si>
  <si>
    <t>para  lograr la eficiencia de la solución propuesta.</t>
  </si>
  <si>
    <r>
      <rPr>
        <b/>
        <sz val="12"/>
        <color theme="1"/>
        <rFont val="Calibri"/>
        <family val="2"/>
      </rPr>
      <t>CE2, N1, RA4: Aplica</t>
    </r>
    <r>
      <rPr>
        <sz val="12"/>
        <color theme="1"/>
        <rFont val="Calibri"/>
        <family val="2"/>
      </rPr>
      <t xml:space="preserve"> técnicas  matemáticas y computacionales, en un nivel básico, para resolver problemas simplificados de ingeniería.</t>
    </r>
  </si>
  <si>
    <t>técnicas matemáticas y computacionales,</t>
  </si>
  <si>
    <t xml:space="preserve">métodos numéricos </t>
  </si>
  <si>
    <t xml:space="preserve">computacionalmente </t>
  </si>
  <si>
    <t xml:space="preserve">para simular e investigar soluciones de edp y problemas de optimización. </t>
  </si>
  <si>
    <t xml:space="preserve">la factibilidad de la resolución del problema propuesto, </t>
  </si>
  <si>
    <t xml:space="preserve">indicando su complejidad, </t>
  </si>
  <si>
    <t>para  lograr la eficiencia de la solución.</t>
  </si>
  <si>
    <t>Simula</t>
  </si>
  <si>
    <t xml:space="preserve">métodos matemáticos avanzados </t>
  </si>
  <si>
    <t xml:space="preserve">en la resolución de ecuaciones en derivadas parciales, </t>
  </si>
  <si>
    <t>Implementa</t>
  </si>
  <si>
    <t xml:space="preserve">modelos probabilísticos y estadísticos </t>
  </si>
  <si>
    <t xml:space="preserve">a través de su diseño y análisis, </t>
  </si>
  <si>
    <t>para la ingeniería financiera, la energía, biología y gestión de recursos, entre otros.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</si>
</sst>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Calibri"/>
      <scheme val="minor"/>
    </font>
    <font>
      <sz val="12"/>
      <color theme="1"/>
      <name val="Calibri"/>
      <family val="2"/>
    </font>
    <font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36"/>
      <color theme="1"/>
      <name val="Calibri"/>
      <family val="2"/>
    </font>
    <font>
      <b/>
      <sz val="18"/>
      <color rgb="FF000000"/>
      <name val="Calibri"/>
      <family val="2"/>
    </font>
    <font>
      <b/>
      <sz val="11"/>
      <color theme="1"/>
      <name val="Arial Narrow"/>
      <family val="2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b/>
      <sz val="11"/>
      <color rgb="FF000000"/>
      <name val="Arial Narrow"/>
      <family val="2"/>
    </font>
    <font>
      <b/>
      <sz val="12"/>
      <color rgb="FFFF0000"/>
      <name val="Arial"/>
      <family val="2"/>
    </font>
    <font>
      <b/>
      <sz val="14"/>
      <color rgb="FFFF0000"/>
      <name val="Calibri"/>
      <family val="2"/>
    </font>
    <font>
      <b/>
      <sz val="14"/>
      <color theme="5"/>
      <name val="Calibri"/>
      <family val="2"/>
    </font>
    <font>
      <b/>
      <sz val="14"/>
      <color theme="4"/>
      <name val="Calibri"/>
      <family val="2"/>
    </font>
    <font>
      <b/>
      <sz val="14"/>
      <color rgb="FF00B050"/>
      <name val="Calibri"/>
      <family val="2"/>
    </font>
    <font>
      <b/>
      <sz val="11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948B54"/>
        <bgColor rgb="FF948B54"/>
      </patternFill>
    </fill>
    <fill>
      <patternFill patternType="solid">
        <fgColor rgb="FFFF5050"/>
        <bgColor rgb="FFFF5050"/>
      </patternFill>
    </fill>
    <fill>
      <patternFill patternType="solid">
        <fgColor rgb="FF00B0F0"/>
        <bgColor rgb="FF00B0F0"/>
      </patternFill>
    </fill>
    <fill>
      <patternFill patternType="solid">
        <fgColor rgb="FFFF99FF"/>
        <bgColor rgb="FFFF99FF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F4B083"/>
        <bgColor rgb="FFF4B083"/>
      </patternFill>
    </fill>
    <fill>
      <patternFill patternType="solid">
        <fgColor rgb="FF99CCFF"/>
        <bgColor rgb="FF99CCFF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7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6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/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5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vertical="top" wrapText="1"/>
    </xf>
    <xf numFmtId="0" fontId="3" fillId="7" borderId="5" xfId="0" applyFont="1" applyFill="1" applyBorder="1" applyAlignment="1">
      <alignment vertical="top" wrapText="1"/>
    </xf>
    <xf numFmtId="0" fontId="1" fillId="8" borderId="6" xfId="0" applyFont="1" applyFill="1" applyBorder="1" applyAlignment="1">
      <alignment vertical="top" wrapText="1"/>
    </xf>
    <xf numFmtId="0" fontId="1" fillId="8" borderId="5" xfId="0" applyFont="1" applyFill="1" applyBorder="1" applyAlignment="1">
      <alignment vertical="top" wrapText="1"/>
    </xf>
    <xf numFmtId="0" fontId="1" fillId="9" borderId="6" xfId="0" applyFont="1" applyFill="1" applyBorder="1" applyAlignment="1">
      <alignment vertical="top" wrapText="1"/>
    </xf>
    <xf numFmtId="0" fontId="1" fillId="9" borderId="5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9" fillId="0" borderId="0" xfId="0" applyFont="1" applyAlignment="1">
      <alignment horizontal="center" textRotation="90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textRotation="90" wrapText="1"/>
    </xf>
    <xf numFmtId="0" fontId="3" fillId="0" borderId="0" xfId="0" applyFont="1" applyAlignment="1">
      <alignment horizontal="center" textRotation="90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16" borderId="11" xfId="0" applyFont="1" applyFill="1" applyBorder="1" applyAlignment="1">
      <alignment horizontal="left" vertical="top" wrapText="1"/>
    </xf>
    <xf numFmtId="0" fontId="1" fillId="16" borderId="12" xfId="0" applyFont="1" applyFill="1" applyBorder="1" applyAlignment="1">
      <alignment vertical="top" wrapText="1"/>
    </xf>
    <xf numFmtId="0" fontId="3" fillId="16" borderId="11" xfId="0" applyFont="1" applyFill="1" applyBorder="1" applyAlignment="1">
      <alignment horizontal="left" vertical="top" wrapText="1"/>
    </xf>
    <xf numFmtId="0" fontId="1" fillId="17" borderId="10" xfId="0" applyFont="1" applyFill="1" applyBorder="1" applyAlignment="1">
      <alignment horizontal="left" vertical="top" wrapText="1"/>
    </xf>
    <xf numFmtId="0" fontId="1" fillId="5" borderId="10" xfId="0" applyFont="1" applyFill="1" applyBorder="1" applyAlignment="1">
      <alignment horizontal="left" vertical="top" wrapText="1"/>
    </xf>
    <xf numFmtId="0" fontId="1" fillId="16" borderId="13" xfId="0" applyFont="1" applyFill="1" applyBorder="1" applyAlignment="1">
      <alignment vertical="top" wrapText="1"/>
    </xf>
    <xf numFmtId="0" fontId="1" fillId="17" borderId="10" xfId="0" applyFont="1" applyFill="1" applyBorder="1" applyAlignment="1">
      <alignment vertical="top" wrapText="1"/>
    </xf>
    <xf numFmtId="0" fontId="1" fillId="17" borderId="14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4" fillId="0" borderId="23" xfId="0" applyFont="1" applyBorder="1" applyAlignment="1">
      <alignment horizontal="center" wrapText="1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2" xfId="0" applyFont="1" applyBorder="1"/>
    <xf numFmtId="0" fontId="15" fillId="0" borderId="21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23" xfId="0" applyFont="1" applyBorder="1"/>
    <xf numFmtId="0" fontId="3" fillId="0" borderId="22" xfId="0" applyFont="1" applyBorder="1"/>
    <xf numFmtId="0" fontId="3" fillId="0" borderId="23" xfId="0" applyFont="1" applyBorder="1"/>
    <xf numFmtId="0" fontId="15" fillId="0" borderId="2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3" fillId="0" borderId="28" xfId="0" applyFont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15" fillId="0" borderId="6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0" xfId="0" applyFont="1" applyBorder="1"/>
    <xf numFmtId="0" fontId="15" fillId="0" borderId="6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5" xfId="0" applyFont="1" applyBorder="1"/>
    <xf numFmtId="0" fontId="3" fillId="0" borderId="10" xfId="0" applyFont="1" applyBorder="1"/>
    <xf numFmtId="0" fontId="3" fillId="0" borderId="5" xfId="0" applyFont="1" applyBorder="1"/>
    <xf numFmtId="0" fontId="15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30" xfId="0" applyFont="1" applyBorder="1" applyAlignment="1">
      <alignment horizontal="center" wrapText="1"/>
    </xf>
    <xf numFmtId="0" fontId="1" fillId="0" borderId="31" xfId="0" applyFont="1" applyBorder="1" applyAlignment="1">
      <alignment horizontal="center" wrapText="1"/>
    </xf>
    <xf numFmtId="0" fontId="1" fillId="0" borderId="32" xfId="0" applyFont="1" applyBorder="1" applyAlignment="1">
      <alignment horizontal="center" wrapText="1"/>
    </xf>
    <xf numFmtId="0" fontId="15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5" xfId="0" applyFont="1" applyBorder="1"/>
    <xf numFmtId="0" fontId="15" fillId="0" borderId="8" xfId="0" applyFont="1" applyBorder="1" applyAlignment="1">
      <alignment horizontal="center"/>
    </xf>
    <xf numFmtId="0" fontId="15" fillId="0" borderId="9" xfId="0" applyFont="1" applyBorder="1"/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/>
    <xf numFmtId="0" fontId="15" fillId="0" borderId="32" xfId="0" applyFont="1" applyBorder="1"/>
    <xf numFmtId="0" fontId="3" fillId="0" borderId="31" xfId="0" applyFont="1" applyBorder="1"/>
    <xf numFmtId="0" fontId="3" fillId="0" borderId="32" xfId="0" applyFont="1" applyBorder="1"/>
    <xf numFmtId="0" fontId="15" fillId="0" borderId="33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3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5" fillId="0" borderId="26" xfId="0" applyFont="1" applyBorder="1"/>
    <xf numFmtId="0" fontId="3" fillId="0" borderId="26" xfId="0" applyFont="1" applyBorder="1"/>
    <xf numFmtId="0" fontId="3" fillId="0" borderId="35" xfId="0" applyFont="1" applyBorder="1"/>
    <xf numFmtId="0" fontId="3" fillId="2" borderId="29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/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38" xfId="0" applyFont="1" applyBorder="1" applyAlignment="1">
      <alignment horizontal="center" vertical="center"/>
    </xf>
    <xf numFmtId="0" fontId="15" fillId="0" borderId="38" xfId="0" applyFont="1" applyBorder="1"/>
    <xf numFmtId="0" fontId="15" fillId="0" borderId="39" xfId="0" applyFont="1" applyBorder="1"/>
    <xf numFmtId="0" fontId="15" fillId="0" borderId="40" xfId="0" applyFont="1" applyBorder="1" applyAlignment="1">
      <alignment horizontal="center"/>
    </xf>
    <xf numFmtId="0" fontId="15" fillId="0" borderId="41" xfId="0" applyFont="1" applyBorder="1" applyAlignment="1">
      <alignment horizontal="center"/>
    </xf>
    <xf numFmtId="0" fontId="1" fillId="0" borderId="34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14" fillId="0" borderId="35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24" xfId="0" applyFont="1" applyBorder="1"/>
    <xf numFmtId="0" fontId="15" fillId="0" borderId="34" xfId="0" applyFont="1" applyBorder="1" applyAlignment="1">
      <alignment horizontal="center"/>
    </xf>
    <xf numFmtId="0" fontId="15" fillId="0" borderId="35" xfId="0" applyFont="1" applyBorder="1"/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2" borderId="19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2" borderId="2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1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3" xfId="0" applyFont="1" applyFill="1" applyBorder="1"/>
    <xf numFmtId="0" fontId="15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3" fillId="0" borderId="3" xfId="0" applyFont="1" applyBorder="1" applyAlignment="1">
      <alignment vertical="center" wrapText="1"/>
    </xf>
    <xf numFmtId="0" fontId="3" fillId="2" borderId="44" xfId="0" applyFont="1" applyFill="1" applyBorder="1" applyAlignment="1">
      <alignment horizontal="center" vertical="center"/>
    </xf>
    <xf numFmtId="0" fontId="1" fillId="18" borderId="22" xfId="0" applyFont="1" applyFill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3" fillId="0" borderId="21" xfId="0" applyFont="1" applyBorder="1"/>
    <xf numFmtId="0" fontId="15" fillId="19" borderId="22" xfId="0" applyFont="1" applyFill="1" applyBorder="1" applyAlignment="1">
      <alignment horizontal="center"/>
    </xf>
    <xf numFmtId="0" fontId="16" fillId="0" borderId="7" xfId="0" applyFont="1" applyBorder="1" applyAlignment="1">
      <alignment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1" fillId="18" borderId="10" xfId="0" applyFont="1" applyFill="1" applyBorder="1" applyAlignment="1">
      <alignment horizontal="center" wrapText="1"/>
    </xf>
    <xf numFmtId="0" fontId="3" fillId="0" borderId="6" xfId="0" applyFont="1" applyBorder="1"/>
    <xf numFmtId="0" fontId="15" fillId="19" borderId="10" xfId="0" applyFont="1" applyFill="1" applyBorder="1" applyAlignment="1">
      <alignment horizontal="center"/>
    </xf>
    <xf numFmtId="0" fontId="13" fillId="0" borderId="7" xfId="0" applyFont="1" applyBorder="1" applyAlignment="1">
      <alignment vertical="center" wrapText="1"/>
    </xf>
    <xf numFmtId="0" fontId="16" fillId="0" borderId="46" xfId="0" applyFont="1" applyBorder="1" applyAlignment="1">
      <alignment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1" fillId="18" borderId="31" xfId="0" applyFont="1" applyFill="1" applyBorder="1" applyAlignment="1">
      <alignment horizontal="center" wrapText="1"/>
    </xf>
    <xf numFmtId="0" fontId="3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 applyAlignment="1">
      <alignment horizontal="center"/>
    </xf>
    <xf numFmtId="0" fontId="3" fillId="0" borderId="33" xfId="0" applyFont="1" applyBorder="1"/>
    <xf numFmtId="0" fontId="3" fillId="0" borderId="49" xfId="0" applyFont="1" applyBorder="1"/>
    <xf numFmtId="0" fontId="16" fillId="0" borderId="19" xfId="0" applyFont="1" applyBorder="1" applyAlignment="1">
      <alignment vertical="center" wrapText="1"/>
    </xf>
    <xf numFmtId="0" fontId="17" fillId="0" borderId="23" xfId="0" applyFont="1" applyBorder="1" applyAlignment="1">
      <alignment horizontal="center" vertical="center"/>
    </xf>
    <xf numFmtId="0" fontId="16" fillId="0" borderId="28" xfId="0" applyFont="1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0" fontId="15" fillId="19" borderId="10" xfId="0" applyFont="1" applyFill="1" applyBorder="1" applyAlignment="1">
      <alignment horizontal="center" vertical="center"/>
    </xf>
    <xf numFmtId="0" fontId="16" fillId="5" borderId="28" xfId="0" applyFont="1" applyFill="1" applyBorder="1" applyAlignment="1">
      <alignment vertical="center" wrapText="1"/>
    </xf>
    <xf numFmtId="0" fontId="12" fillId="0" borderId="2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 wrapText="1"/>
    </xf>
    <xf numFmtId="0" fontId="16" fillId="5" borderId="14" xfId="0" applyFont="1" applyFill="1" applyBorder="1" applyAlignment="1">
      <alignment vertical="center" wrapText="1"/>
    </xf>
    <xf numFmtId="0" fontId="1" fillId="0" borderId="35" xfId="0" applyFont="1" applyBorder="1" applyAlignment="1">
      <alignment horizontal="center" wrapText="1"/>
    </xf>
    <xf numFmtId="0" fontId="3" fillId="0" borderId="24" xfId="0" applyFont="1" applyBorder="1"/>
    <xf numFmtId="0" fontId="3" fillId="0" borderId="34" xfId="0" applyFont="1" applyBorder="1"/>
    <xf numFmtId="0" fontId="13" fillId="0" borderId="50" xfId="0" applyFont="1" applyBorder="1" applyAlignment="1">
      <alignment horizontal="center" vertical="center" wrapText="1"/>
    </xf>
    <xf numFmtId="0" fontId="16" fillId="0" borderId="25" xfId="0" applyFont="1" applyBorder="1" applyAlignment="1">
      <alignment vertical="center" wrapText="1"/>
    </xf>
    <xf numFmtId="0" fontId="3" fillId="2" borderId="51" xfId="0" applyFont="1" applyFill="1" applyBorder="1" applyAlignment="1">
      <alignment horizontal="center" wrapText="1"/>
    </xf>
    <xf numFmtId="0" fontId="3" fillId="0" borderId="26" xfId="0" applyFont="1" applyBorder="1" applyAlignment="1">
      <alignment horizontal="center"/>
    </xf>
    <xf numFmtId="0" fontId="3" fillId="2" borderId="29" xfId="0" applyFont="1" applyFill="1" applyBorder="1" applyAlignment="1">
      <alignment horizontal="center" wrapText="1"/>
    </xf>
    <xf numFmtId="0" fontId="16" fillId="5" borderId="52" xfId="0" applyFont="1" applyFill="1" applyBorder="1" applyAlignment="1">
      <alignment vertical="center" wrapText="1"/>
    </xf>
    <xf numFmtId="0" fontId="1" fillId="18" borderId="6" xfId="0" applyFont="1" applyFill="1" applyBorder="1" applyAlignment="1">
      <alignment horizontal="center" wrapText="1"/>
    </xf>
    <xf numFmtId="0" fontId="1" fillId="18" borderId="5" xfId="0" applyFont="1" applyFill="1" applyBorder="1" applyAlignment="1">
      <alignment horizontal="center" wrapText="1"/>
    </xf>
    <xf numFmtId="0" fontId="1" fillId="18" borderId="1" xfId="0" applyFont="1" applyFill="1" applyBorder="1"/>
    <xf numFmtId="0" fontId="3" fillId="18" borderId="6" xfId="0" applyFont="1" applyFill="1" applyBorder="1" applyAlignment="1">
      <alignment horizontal="center" vertical="center"/>
    </xf>
    <xf numFmtId="0" fontId="3" fillId="18" borderId="10" xfId="0" applyFont="1" applyFill="1" applyBorder="1" applyAlignment="1">
      <alignment horizontal="center" vertical="center"/>
    </xf>
    <xf numFmtId="0" fontId="15" fillId="18" borderId="5" xfId="0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horizontal="center" vertical="center"/>
    </xf>
    <xf numFmtId="0" fontId="15" fillId="18" borderId="10" xfId="0" applyFont="1" applyFill="1" applyBorder="1" applyAlignment="1">
      <alignment horizontal="center" vertical="center"/>
    </xf>
    <xf numFmtId="0" fontId="3" fillId="18" borderId="10" xfId="0" applyFont="1" applyFill="1" applyBorder="1"/>
    <xf numFmtId="0" fontId="3" fillId="18" borderId="11" xfId="0" applyFont="1" applyFill="1" applyBorder="1"/>
    <xf numFmtId="0" fontId="3" fillId="18" borderId="6" xfId="0" applyFont="1" applyFill="1" applyBorder="1"/>
    <xf numFmtId="0" fontId="3" fillId="18" borderId="10" xfId="0" applyFont="1" applyFill="1" applyBorder="1" applyAlignment="1">
      <alignment horizontal="center"/>
    </xf>
    <xf numFmtId="0" fontId="3" fillId="18" borderId="5" xfId="0" applyFont="1" applyFill="1" applyBorder="1"/>
    <xf numFmtId="0" fontId="15" fillId="18" borderId="6" xfId="0" applyFont="1" applyFill="1" applyBorder="1" applyAlignment="1">
      <alignment horizontal="center"/>
    </xf>
    <xf numFmtId="0" fontId="15" fillId="18" borderId="10" xfId="0" applyFont="1" applyFill="1" applyBorder="1" applyAlignment="1">
      <alignment horizontal="center"/>
    </xf>
    <xf numFmtId="0" fontId="15" fillId="18" borderId="11" xfId="0" applyFont="1" applyFill="1" applyBorder="1" applyAlignment="1">
      <alignment horizontal="center"/>
    </xf>
    <xf numFmtId="0" fontId="15" fillId="18" borderId="5" xfId="0" applyFont="1" applyFill="1" applyBorder="1" applyAlignment="1">
      <alignment horizontal="center"/>
    </xf>
    <xf numFmtId="0" fontId="15" fillId="18" borderId="53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 wrapText="1"/>
    </xf>
    <xf numFmtId="0" fontId="1" fillId="18" borderId="21" xfId="0" applyFont="1" applyFill="1" applyBorder="1" applyAlignment="1">
      <alignment horizontal="center" wrapText="1"/>
    </xf>
    <xf numFmtId="0" fontId="1" fillId="18" borderId="23" xfId="0" applyFont="1" applyFill="1" applyBorder="1" applyAlignment="1">
      <alignment horizontal="center" wrapText="1"/>
    </xf>
    <xf numFmtId="0" fontId="3" fillId="18" borderId="21" xfId="0" applyFont="1" applyFill="1" applyBorder="1" applyAlignment="1">
      <alignment horizontal="center" vertical="center"/>
    </xf>
    <xf numFmtId="0" fontId="3" fillId="18" borderId="22" xfId="0" applyFont="1" applyFill="1" applyBorder="1" applyAlignment="1">
      <alignment horizontal="center" vertical="center"/>
    </xf>
    <xf numFmtId="0" fontId="15" fillId="18" borderId="23" xfId="0" applyFont="1" applyFill="1" applyBorder="1" applyAlignment="1">
      <alignment horizontal="center" vertical="center"/>
    </xf>
    <xf numFmtId="0" fontId="3" fillId="18" borderId="23" xfId="0" applyFont="1" applyFill="1" applyBorder="1" applyAlignment="1">
      <alignment horizontal="center" vertical="center"/>
    </xf>
    <xf numFmtId="0" fontId="15" fillId="18" borderId="22" xfId="0" applyFont="1" applyFill="1" applyBorder="1" applyAlignment="1">
      <alignment horizontal="center" vertical="center"/>
    </xf>
    <xf numFmtId="0" fontId="3" fillId="18" borderId="22" xfId="0" applyFont="1" applyFill="1" applyBorder="1"/>
    <xf numFmtId="0" fontId="3" fillId="18" borderId="23" xfId="0" applyFont="1" applyFill="1" applyBorder="1"/>
    <xf numFmtId="0" fontId="3" fillId="18" borderId="21" xfId="0" applyFont="1" applyFill="1" applyBorder="1"/>
    <xf numFmtId="0" fontId="3" fillId="18" borderId="22" xfId="0" applyFont="1" applyFill="1" applyBorder="1" applyAlignment="1">
      <alignment horizontal="center"/>
    </xf>
    <xf numFmtId="0" fontId="15" fillId="18" borderId="22" xfId="0" applyFont="1" applyFill="1" applyBorder="1" applyAlignment="1">
      <alignment horizontal="center"/>
    </xf>
    <xf numFmtId="0" fontId="15" fillId="18" borderId="21" xfId="0" applyFont="1" applyFill="1" applyBorder="1" applyAlignment="1">
      <alignment horizontal="center"/>
    </xf>
    <xf numFmtId="0" fontId="15" fillId="18" borderId="54" xfId="0" applyFont="1" applyFill="1" applyBorder="1" applyAlignment="1">
      <alignment horizontal="center"/>
    </xf>
    <xf numFmtId="0" fontId="15" fillId="18" borderId="23" xfId="0" applyFont="1" applyFill="1" applyBorder="1" applyAlignment="1">
      <alignment horizontal="center"/>
    </xf>
    <xf numFmtId="0" fontId="1" fillId="2" borderId="55" xfId="0" applyFont="1" applyFill="1" applyBorder="1" applyAlignment="1">
      <alignment horizontal="center" wrapText="1"/>
    </xf>
    <xf numFmtId="0" fontId="1" fillId="2" borderId="56" xfId="0" applyFont="1" applyFill="1" applyBorder="1" applyAlignment="1">
      <alignment wrapText="1"/>
    </xf>
    <xf numFmtId="0" fontId="1" fillId="2" borderId="57" xfId="0" applyFont="1" applyFill="1" applyBorder="1" applyAlignment="1">
      <alignment horizontal="center" wrapText="1"/>
    </xf>
    <xf numFmtId="0" fontId="3" fillId="2" borderId="58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6" fillId="0" borderId="4" xfId="0" applyFont="1" applyBorder="1" applyAlignment="1">
      <alignment vertical="center" wrapText="1"/>
    </xf>
    <xf numFmtId="0" fontId="13" fillId="0" borderId="10" xfId="0" applyFont="1" applyBorder="1" applyAlignment="1">
      <alignment horizontal="center" vertical="center"/>
    </xf>
    <xf numFmtId="0" fontId="16" fillId="5" borderId="53" xfId="0" applyFont="1" applyFill="1" applyBorder="1" applyAlignment="1">
      <alignment vertical="center" wrapText="1"/>
    </xf>
    <xf numFmtId="0" fontId="13" fillId="0" borderId="31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 wrapText="1"/>
    </xf>
    <xf numFmtId="0" fontId="16" fillId="0" borderId="26" xfId="0" applyFont="1" applyBorder="1" applyAlignment="1">
      <alignment vertical="center" wrapText="1"/>
    </xf>
    <xf numFmtId="0" fontId="13" fillId="0" borderId="10" xfId="0" applyFont="1" applyBorder="1" applyAlignment="1">
      <alignment horizontal="center" vertical="center" wrapText="1"/>
    </xf>
    <xf numFmtId="0" fontId="16" fillId="5" borderId="10" xfId="0" applyFont="1" applyFill="1" applyBorder="1" applyAlignment="1">
      <alignment vertical="center" wrapText="1"/>
    </xf>
    <xf numFmtId="0" fontId="13" fillId="0" borderId="31" xfId="0" applyFont="1" applyBorder="1" applyAlignment="1">
      <alignment horizontal="center" vertical="center" wrapText="1"/>
    </xf>
    <xf numFmtId="0" fontId="16" fillId="5" borderId="31" xfId="0" applyFont="1" applyFill="1" applyBorder="1" applyAlignment="1">
      <alignment vertical="center" wrapText="1"/>
    </xf>
    <xf numFmtId="0" fontId="13" fillId="0" borderId="22" xfId="0" applyFont="1" applyBorder="1" applyAlignment="1">
      <alignment horizontal="center" vertical="center" wrapText="1"/>
    </xf>
    <xf numFmtId="0" fontId="16" fillId="0" borderId="22" xfId="0" applyFont="1" applyBorder="1" applyAlignment="1">
      <alignment vertical="center" wrapText="1"/>
    </xf>
    <xf numFmtId="0" fontId="3" fillId="0" borderId="6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/>
    <xf numFmtId="0" fontId="3" fillId="0" borderId="65" xfId="0" applyFont="1" applyBorder="1"/>
    <xf numFmtId="0" fontId="20" fillId="0" borderId="6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16" borderId="19" xfId="0" applyFont="1" applyFill="1" applyBorder="1" applyAlignment="1">
      <alignment horizontal="center" vertical="center" wrapText="1"/>
    </xf>
    <xf numFmtId="0" fontId="3" fillId="16" borderId="53" xfId="0" applyFont="1" applyFill="1" applyBorder="1" applyAlignment="1">
      <alignment horizontal="center" vertical="top" wrapText="1"/>
    </xf>
    <xf numFmtId="0" fontId="3" fillId="16" borderId="10" xfId="0" applyFont="1" applyFill="1" applyBorder="1" applyAlignment="1">
      <alignment horizontal="left" vertical="top" wrapText="1"/>
    </xf>
    <xf numFmtId="0" fontId="3" fillId="16" borderId="10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2" fillId="17" borderId="10" xfId="0" applyFont="1" applyFill="1" applyBorder="1" applyAlignment="1">
      <alignment horizontal="center" vertical="center"/>
    </xf>
    <xf numFmtId="0" fontId="3" fillId="17" borderId="10" xfId="0" applyFont="1" applyFill="1" applyBorder="1" applyAlignment="1">
      <alignment horizontal="center" vertical="top"/>
    </xf>
    <xf numFmtId="0" fontId="3" fillId="17" borderId="10" xfId="0" applyFont="1" applyFill="1" applyBorder="1" applyAlignment="1">
      <alignment vertical="top" wrapText="1"/>
    </xf>
    <xf numFmtId="0" fontId="3" fillId="17" borderId="10" xfId="0" applyFont="1" applyFill="1" applyBorder="1" applyAlignment="1">
      <alignment vertical="top"/>
    </xf>
    <xf numFmtId="0" fontId="22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vertical="top"/>
    </xf>
    <xf numFmtId="0" fontId="3" fillId="5" borderId="10" xfId="0" applyFont="1" applyFill="1" applyBorder="1" applyAlignment="1">
      <alignment vertical="top" wrapText="1"/>
    </xf>
    <xf numFmtId="0" fontId="22" fillId="16" borderId="28" xfId="0" applyFont="1" applyFill="1" applyBorder="1" applyAlignment="1">
      <alignment horizontal="center" vertical="center"/>
    </xf>
    <xf numFmtId="0" fontId="3" fillId="16" borderId="53" xfId="0" applyFont="1" applyFill="1" applyBorder="1" applyAlignment="1">
      <alignment horizontal="center" vertical="top"/>
    </xf>
    <xf numFmtId="0" fontId="3" fillId="16" borderId="5" xfId="0" applyFont="1" applyFill="1" applyBorder="1" applyAlignment="1">
      <alignment vertical="top" wrapText="1"/>
    </xf>
    <xf numFmtId="0" fontId="3" fillId="16" borderId="66" xfId="0" applyFont="1" applyFill="1" applyBorder="1" applyAlignment="1">
      <alignment horizontal="center" vertical="top"/>
    </xf>
    <xf numFmtId="0" fontId="3" fillId="16" borderId="67" xfId="0" applyFont="1" applyFill="1" applyBorder="1" applyAlignment="1">
      <alignment horizontal="left" vertical="top" wrapText="1"/>
    </xf>
    <xf numFmtId="0" fontId="22" fillId="16" borderId="14" xfId="0" applyFont="1" applyFill="1" applyBorder="1" applyAlignment="1">
      <alignment horizontal="center" vertical="center"/>
    </xf>
    <xf numFmtId="0" fontId="3" fillId="16" borderId="67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0" borderId="42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2" fillId="16" borderId="13" xfId="0" applyFont="1" applyFill="1" applyBorder="1" applyAlignment="1">
      <alignment horizontal="center" vertical="top" wrapText="1"/>
    </xf>
    <xf numFmtId="0" fontId="3" fillId="16" borderId="13" xfId="0" applyFont="1" applyFill="1" applyBorder="1" applyAlignment="1">
      <alignment horizontal="center" vertical="top" wrapText="1"/>
    </xf>
    <xf numFmtId="0" fontId="3" fillId="16" borderId="68" xfId="0" applyFont="1" applyFill="1" applyBorder="1" applyAlignment="1">
      <alignment horizontal="left" vertical="top" wrapText="1"/>
    </xf>
    <xf numFmtId="0" fontId="3" fillId="16" borderId="12" xfId="0" applyFont="1" applyFill="1" applyBorder="1" applyAlignment="1">
      <alignment horizontal="left" vertical="top" wrapText="1"/>
    </xf>
    <xf numFmtId="0" fontId="3" fillId="16" borderId="18" xfId="0" applyFont="1" applyFill="1" applyBorder="1" applyAlignment="1">
      <alignment vertical="top" wrapText="1"/>
    </xf>
    <xf numFmtId="0" fontId="22" fillId="14" borderId="13" xfId="0" applyFont="1" applyFill="1" applyBorder="1" applyAlignment="1">
      <alignment horizontal="center" vertical="top"/>
    </xf>
    <xf numFmtId="0" fontId="3" fillId="14" borderId="69" xfId="0" applyFont="1" applyFill="1" applyBorder="1" applyAlignment="1">
      <alignment horizontal="center" vertical="top"/>
    </xf>
    <xf numFmtId="0" fontId="3" fillId="14" borderId="17" xfId="0" applyFont="1" applyFill="1" applyBorder="1" applyAlignment="1">
      <alignment vertical="top" wrapText="1"/>
    </xf>
    <xf numFmtId="0" fontId="3" fillId="14" borderId="12" xfId="0" applyFont="1" applyFill="1" applyBorder="1" applyAlignment="1">
      <alignment vertical="top" wrapText="1"/>
    </xf>
    <xf numFmtId="0" fontId="3" fillId="14" borderId="18" xfId="0" applyFont="1" applyFill="1" applyBorder="1" applyAlignment="1">
      <alignment vertical="top" wrapText="1"/>
    </xf>
    <xf numFmtId="0" fontId="1" fillId="17" borderId="19" xfId="0" applyFont="1" applyFill="1" applyBorder="1" applyAlignment="1">
      <alignment vertical="top" wrapText="1"/>
    </xf>
    <xf numFmtId="0" fontId="22" fillId="17" borderId="53" xfId="0" applyFont="1" applyFill="1" applyBorder="1" applyAlignment="1">
      <alignment horizontal="center" vertical="top" wrapText="1"/>
    </xf>
    <xf numFmtId="0" fontId="3" fillId="17" borderId="10" xfId="0" applyFont="1" applyFill="1" applyBorder="1" applyAlignment="1">
      <alignment horizontal="center" vertical="top" wrapText="1"/>
    </xf>
    <xf numFmtId="0" fontId="3" fillId="17" borderId="67" xfId="0" applyFont="1" applyFill="1" applyBorder="1" applyAlignment="1">
      <alignment vertical="top" wrapText="1"/>
    </xf>
    <xf numFmtId="0" fontId="1" fillId="0" borderId="0" xfId="0" applyFont="1" applyAlignment="1">
      <alignment wrapText="1"/>
    </xf>
    <xf numFmtId="0" fontId="3" fillId="16" borderId="68" xfId="0" applyFont="1" applyFill="1" applyBorder="1" applyAlignment="1">
      <alignment vertical="top" wrapText="1"/>
    </xf>
    <xf numFmtId="0" fontId="3" fillId="16" borderId="70" xfId="0" applyFont="1" applyFill="1" applyBorder="1" applyAlignment="1">
      <alignment vertical="top" wrapText="1"/>
    </xf>
    <xf numFmtId="0" fontId="1" fillId="14" borderId="28" xfId="0" applyFont="1" applyFill="1" applyBorder="1" applyAlignment="1">
      <alignment vertical="top" wrapText="1"/>
    </xf>
    <xf numFmtId="0" fontId="3" fillId="14" borderId="12" xfId="0" applyFont="1" applyFill="1" applyBorder="1" applyAlignment="1">
      <alignment vertical="top"/>
    </xf>
    <xf numFmtId="0" fontId="1" fillId="17" borderId="28" xfId="0" applyFont="1" applyFill="1" applyBorder="1" applyAlignment="1">
      <alignment vertical="top" wrapText="1"/>
    </xf>
    <xf numFmtId="0" fontId="3" fillId="16" borderId="13" xfId="0" applyFont="1" applyFill="1" applyBorder="1" applyAlignment="1">
      <alignment horizontal="center" vertical="top"/>
    </xf>
    <xf numFmtId="0" fontId="3" fillId="16" borderId="12" xfId="0" applyFont="1" applyFill="1" applyBorder="1" applyAlignment="1">
      <alignment vertical="top"/>
    </xf>
    <xf numFmtId="0" fontId="22" fillId="17" borderId="45" xfId="0" applyFont="1" applyFill="1" applyBorder="1" applyAlignment="1">
      <alignment horizontal="center" vertical="top" wrapText="1"/>
    </xf>
    <xf numFmtId="0" fontId="1" fillId="14" borderId="71" xfId="0" applyFont="1" applyFill="1" applyBorder="1" applyAlignment="1">
      <alignment vertical="top" wrapText="1"/>
    </xf>
    <xf numFmtId="0" fontId="22" fillId="14" borderId="72" xfId="0" applyFont="1" applyFill="1" applyBorder="1" applyAlignment="1">
      <alignment horizontal="center" vertical="top"/>
    </xf>
    <xf numFmtId="0" fontId="3" fillId="14" borderId="73" xfId="0" applyFont="1" applyFill="1" applyBorder="1" applyAlignment="1">
      <alignment horizontal="center" vertical="top"/>
    </xf>
    <xf numFmtId="0" fontId="3" fillId="14" borderId="74" xfId="0" applyFont="1" applyFill="1" applyBorder="1" applyAlignment="1">
      <alignment vertical="top" wrapText="1"/>
    </xf>
    <xf numFmtId="0" fontId="3" fillId="14" borderId="75" xfId="0" applyFont="1" applyFill="1" applyBorder="1" applyAlignment="1">
      <alignment vertical="top" wrapText="1"/>
    </xf>
    <xf numFmtId="0" fontId="3" fillId="14" borderId="76" xfId="0" applyFont="1" applyFill="1" applyBorder="1" applyAlignment="1">
      <alignment vertical="top" wrapText="1"/>
    </xf>
    <xf numFmtId="0" fontId="22" fillId="17" borderId="1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center"/>
    </xf>
    <xf numFmtId="0" fontId="1" fillId="0" borderId="69" xfId="0" applyFont="1" applyBorder="1" applyAlignment="1">
      <alignment horizontal="center" vertical="top" wrapText="1"/>
    </xf>
    <xf numFmtId="0" fontId="4" fillId="0" borderId="70" xfId="0" applyFont="1" applyBorder="1" applyAlignment="1"/>
    <xf numFmtId="0" fontId="4" fillId="0" borderId="2" xfId="0" applyFont="1" applyBorder="1" applyAlignment="1"/>
    <xf numFmtId="0" fontId="0" fillId="0" borderId="0" xfId="0" applyAlignment="1"/>
    <xf numFmtId="0" fontId="6" fillId="0" borderId="69" xfId="0" applyFont="1" applyBorder="1" applyAlignment="1">
      <alignment horizontal="center" vertical="center" wrapText="1"/>
    </xf>
    <xf numFmtId="0" fontId="6" fillId="0" borderId="69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top" wrapText="1"/>
    </xf>
    <xf numFmtId="0" fontId="4" fillId="0" borderId="44" xfId="0" applyFont="1" applyBorder="1" applyAlignment="1"/>
    <xf numFmtId="0" fontId="4" fillId="0" borderId="3" xfId="0" applyFont="1" applyBorder="1" applyAlignment="1"/>
    <xf numFmtId="0" fontId="1" fillId="4" borderId="20" xfId="0" applyFont="1" applyFill="1" applyBorder="1" applyAlignment="1">
      <alignment horizontal="center" vertical="top" wrapText="1"/>
    </xf>
    <xf numFmtId="0" fontId="1" fillId="5" borderId="20" xfId="0" applyFont="1" applyFill="1" applyBorder="1" applyAlignment="1">
      <alignment horizontal="center" vertical="top" wrapText="1"/>
    </xf>
    <xf numFmtId="0" fontId="1" fillId="6" borderId="20" xfId="0" applyFont="1" applyFill="1" applyBorder="1" applyAlignment="1">
      <alignment horizontal="center" vertical="top" wrapText="1"/>
    </xf>
    <xf numFmtId="0" fontId="1" fillId="7" borderId="20" xfId="0" applyFont="1" applyFill="1" applyBorder="1" applyAlignment="1">
      <alignment horizontal="center" vertical="top" wrapText="1"/>
    </xf>
    <xf numFmtId="0" fontId="1" fillId="8" borderId="20" xfId="0" applyFont="1" applyFill="1" applyBorder="1" applyAlignment="1">
      <alignment horizontal="center" vertical="top" wrapText="1"/>
    </xf>
    <xf numFmtId="0" fontId="1" fillId="9" borderId="20" xfId="0" applyFont="1" applyFill="1" applyBorder="1" applyAlignment="1">
      <alignment horizontal="center" vertical="top" wrapText="1"/>
    </xf>
    <xf numFmtId="0" fontId="1" fillId="10" borderId="54" xfId="0" applyFont="1" applyFill="1" applyBorder="1" applyAlignment="1">
      <alignment horizontal="center" vertical="top" wrapText="1"/>
    </xf>
    <xf numFmtId="0" fontId="4" fillId="0" borderId="4" xfId="0" applyFont="1" applyBorder="1" applyAlignment="1"/>
    <xf numFmtId="0" fontId="1" fillId="11" borderId="20" xfId="0" applyFont="1" applyFill="1" applyBorder="1" applyAlignment="1">
      <alignment horizontal="center" vertical="top" wrapText="1"/>
    </xf>
    <xf numFmtId="0" fontId="1" fillId="12" borderId="20" xfId="0" applyFont="1" applyFill="1" applyBorder="1" applyAlignment="1">
      <alignment horizontal="center" vertical="top" wrapText="1"/>
    </xf>
    <xf numFmtId="0" fontId="1" fillId="13" borderId="20" xfId="0" applyFont="1" applyFill="1" applyBorder="1" applyAlignment="1">
      <alignment horizontal="center" vertical="top" wrapText="1"/>
    </xf>
    <xf numFmtId="0" fontId="8" fillId="14" borderId="73" xfId="0" applyFont="1" applyFill="1" applyBorder="1" applyAlignment="1">
      <alignment horizontal="center" vertical="top" wrapText="1"/>
    </xf>
    <xf numFmtId="0" fontId="4" fillId="0" borderId="61" xfId="0" applyFont="1" applyBorder="1" applyAlignment="1"/>
    <xf numFmtId="0" fontId="4" fillId="0" borderId="62" xfId="0" applyFont="1" applyBorder="1" applyAlignment="1"/>
    <xf numFmtId="0" fontId="8" fillId="15" borderId="73" xfId="0" applyFont="1" applyFill="1" applyBorder="1" applyAlignment="1">
      <alignment horizontal="center" vertical="top" wrapText="1"/>
    </xf>
    <xf numFmtId="0" fontId="4" fillId="0" borderId="16" xfId="0" applyFont="1" applyBorder="1" applyAlignment="1"/>
    <xf numFmtId="0" fontId="1" fillId="3" borderId="29" xfId="0" applyFont="1" applyFill="1" applyBorder="1" applyAlignment="1">
      <alignment horizontal="center" vertical="top" wrapText="1"/>
    </xf>
    <xf numFmtId="0" fontId="4" fillId="0" borderId="45" xfId="0" applyFont="1" applyBorder="1" applyAlignment="1"/>
    <xf numFmtId="0" fontId="4" fillId="0" borderId="53" xfId="0" applyFont="1" applyBorder="1" applyAlignment="1"/>
    <xf numFmtId="0" fontId="1" fillId="4" borderId="29" xfId="0" applyFont="1" applyFill="1" applyBorder="1" applyAlignment="1">
      <alignment horizontal="center" vertical="top" wrapText="1"/>
    </xf>
    <xf numFmtId="0" fontId="1" fillId="5" borderId="29" xfId="0" applyFont="1" applyFill="1" applyBorder="1" applyAlignment="1">
      <alignment horizontal="center" vertical="top" wrapText="1"/>
    </xf>
    <xf numFmtId="0" fontId="1" fillId="6" borderId="29" xfId="0" applyFont="1" applyFill="1" applyBorder="1" applyAlignment="1">
      <alignment horizontal="center" vertical="top" wrapText="1"/>
    </xf>
    <xf numFmtId="0" fontId="1" fillId="7" borderId="29" xfId="0" applyFont="1" applyFill="1" applyBorder="1" applyAlignment="1">
      <alignment horizontal="center" vertical="top" wrapText="1"/>
    </xf>
    <xf numFmtId="0" fontId="1" fillId="10" borderId="11" xfId="0" applyFont="1" applyFill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 vertical="top" wrapText="1"/>
    </xf>
    <xf numFmtId="0" fontId="1" fillId="11" borderId="29" xfId="0" applyFont="1" applyFill="1" applyBorder="1" applyAlignment="1">
      <alignment horizontal="center" vertical="top" wrapText="1"/>
    </xf>
    <xf numFmtId="0" fontId="1" fillId="11" borderId="11" xfId="0" applyFont="1" applyFill="1" applyBorder="1" applyAlignment="1">
      <alignment horizontal="center" vertical="top" wrapText="1"/>
    </xf>
    <xf numFmtId="0" fontId="1" fillId="12" borderId="29" xfId="0" applyFont="1" applyFill="1" applyBorder="1" applyAlignment="1">
      <alignment horizontal="center" vertical="top" wrapText="1"/>
    </xf>
    <xf numFmtId="0" fontId="1" fillId="12" borderId="11" xfId="0" applyFont="1" applyFill="1" applyBorder="1" applyAlignment="1">
      <alignment horizontal="center" vertical="top" wrapText="1"/>
    </xf>
    <xf numFmtId="0" fontId="4" fillId="0" borderId="7" xfId="0" applyFont="1" applyBorder="1" applyAlignment="1"/>
    <xf numFmtId="0" fontId="1" fillId="9" borderId="29" xfId="0" applyFont="1" applyFill="1" applyBorder="1" applyAlignment="1">
      <alignment horizontal="center" vertical="top" wrapText="1"/>
    </xf>
    <xf numFmtId="0" fontId="1" fillId="9" borderId="11" xfId="0" applyFont="1" applyFill="1" applyBorder="1" applyAlignment="1">
      <alignment horizontal="center" vertical="top" wrapText="1"/>
    </xf>
    <xf numFmtId="0" fontId="1" fillId="9" borderId="45" xfId="0" applyFont="1" applyFill="1" applyBorder="1" applyAlignment="1">
      <alignment horizontal="center" vertical="top" wrapText="1"/>
    </xf>
    <xf numFmtId="0" fontId="1" fillId="13" borderId="29" xfId="0" applyFont="1" applyFill="1" applyBorder="1" applyAlignment="1">
      <alignment horizontal="center" vertical="top" wrapText="1"/>
    </xf>
    <xf numFmtId="0" fontId="1" fillId="13" borderId="11" xfId="0" applyFont="1" applyFill="1" applyBorder="1" applyAlignment="1">
      <alignment horizontal="center" vertical="top" wrapText="1"/>
    </xf>
    <xf numFmtId="0" fontId="8" fillId="14" borderId="69" xfId="0" applyFont="1" applyFill="1" applyBorder="1" applyAlignment="1">
      <alignment horizontal="center" vertical="top" wrapText="1"/>
    </xf>
    <xf numFmtId="0" fontId="1" fillId="15" borderId="29" xfId="0" applyFont="1" applyFill="1" applyBorder="1" applyAlignment="1">
      <alignment horizontal="center" vertical="top" wrapText="1"/>
    </xf>
    <xf numFmtId="0" fontId="1" fillId="15" borderId="11" xfId="0" applyFont="1" applyFill="1" applyBorder="1" applyAlignment="1">
      <alignment horizontal="center" vertical="top" wrapText="1"/>
    </xf>
    <xf numFmtId="0" fontId="1" fillId="0" borderId="67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5" borderId="50" xfId="0" applyFont="1" applyFill="1" applyBorder="1" applyAlignment="1">
      <alignment vertical="top" wrapText="1"/>
    </xf>
    <xf numFmtId="0" fontId="1" fillId="5" borderId="43" xfId="0" applyFont="1" applyFill="1" applyBorder="1" applyAlignment="1">
      <alignment vertical="top" wrapText="1"/>
    </xf>
    <xf numFmtId="0" fontId="1" fillId="17" borderId="26" xfId="0" applyFont="1" applyFill="1" applyBorder="1" applyAlignment="1">
      <alignment vertical="top" wrapText="1"/>
    </xf>
    <xf numFmtId="0" fontId="3" fillId="0" borderId="69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15" fillId="0" borderId="54" xfId="0" applyFont="1" applyBorder="1"/>
    <xf numFmtId="0" fontId="15" fillId="0" borderId="54" xfId="0" applyFont="1" applyBorder="1" applyAlignment="1">
      <alignment horizontal="center"/>
    </xf>
    <xf numFmtId="0" fontId="4" fillId="0" borderId="27" xfId="0" applyFont="1" applyBorder="1" applyAlignment="1"/>
    <xf numFmtId="0" fontId="13" fillId="0" borderId="53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11" xfId="0" applyFont="1" applyBorder="1"/>
    <xf numFmtId="0" fontId="15" fillId="0" borderId="11" xfId="0" applyFont="1" applyBorder="1" applyAlignment="1">
      <alignment horizontal="center"/>
    </xf>
    <xf numFmtId="0" fontId="15" fillId="0" borderId="53" xfId="0" applyFont="1" applyBorder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3" fillId="0" borderId="71" xfId="0" applyFont="1" applyBorder="1" applyAlignment="1">
      <alignment horizontal="center" vertical="center" wrapText="1"/>
    </xf>
    <xf numFmtId="0" fontId="13" fillId="0" borderId="66" xfId="0" applyFont="1" applyBorder="1" applyAlignment="1">
      <alignment vertical="center" wrapText="1"/>
    </xf>
    <xf numFmtId="0" fontId="3" fillId="2" borderId="48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0" fontId="15" fillId="0" borderId="66" xfId="0" applyFont="1" applyBorder="1" applyAlignment="1">
      <alignment horizontal="center" vertical="center"/>
    </xf>
    <xf numFmtId="0" fontId="15" fillId="0" borderId="67" xfId="0" applyFont="1" applyBorder="1"/>
    <xf numFmtId="0" fontId="15" fillId="0" borderId="67" xfId="0" applyFont="1" applyBorder="1" applyAlignment="1">
      <alignment horizontal="center"/>
    </xf>
    <xf numFmtId="0" fontId="15" fillId="0" borderId="66" xfId="0" applyFont="1" applyBorder="1" applyAlignment="1">
      <alignment horizontal="center"/>
    </xf>
    <xf numFmtId="0" fontId="4" fillId="0" borderId="36" xfId="0" applyFont="1" applyBorder="1" applyAlignment="1"/>
    <xf numFmtId="0" fontId="13" fillId="0" borderId="52" xfId="0" applyFont="1" applyBorder="1" applyAlignment="1">
      <alignment vertical="center" wrapText="1"/>
    </xf>
    <xf numFmtId="0" fontId="15" fillId="0" borderId="55" xfId="0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15" fillId="0" borderId="59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56" xfId="0" applyFont="1" applyBorder="1"/>
    <xf numFmtId="0" fontId="3" fillId="0" borderId="56" xfId="0" applyFont="1" applyBorder="1"/>
    <xf numFmtId="0" fontId="3" fillId="0" borderId="57" xfId="0" applyFont="1" applyBorder="1"/>
    <xf numFmtId="0" fontId="12" fillId="0" borderId="72" xfId="0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4" fillId="0" borderId="42" xfId="0" applyFont="1" applyBorder="1" applyAlignment="1"/>
    <xf numFmtId="0" fontId="15" fillId="0" borderId="53" xfId="0" applyFont="1" applyBorder="1"/>
    <xf numFmtId="0" fontId="15" fillId="0" borderId="66" xfId="0" applyFont="1" applyBorder="1"/>
    <xf numFmtId="0" fontId="3" fillId="0" borderId="11" xfId="0" applyFont="1" applyBorder="1"/>
    <xf numFmtId="0" fontId="3" fillId="0" borderId="54" xfId="0" applyFont="1" applyBorder="1"/>
    <xf numFmtId="0" fontId="4" fillId="0" borderId="43" xfId="0" applyFont="1" applyBorder="1" applyAlignment="1"/>
    <xf numFmtId="0" fontId="3" fillId="0" borderId="67" xfId="0" applyFont="1" applyBorder="1"/>
    <xf numFmtId="0" fontId="13" fillId="0" borderId="71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/>
    </xf>
    <xf numFmtId="0" fontId="13" fillId="0" borderId="20" xfId="0" applyFont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wrapText="1"/>
    </xf>
    <xf numFmtId="0" fontId="1" fillId="18" borderId="26" xfId="0" applyFont="1" applyFill="1" applyBorder="1" applyAlignment="1">
      <alignment horizontal="center" wrapText="1"/>
    </xf>
    <xf numFmtId="0" fontId="15" fillId="19" borderId="26" xfId="0" applyFont="1" applyFill="1" applyBorder="1" applyAlignment="1">
      <alignment horizontal="center"/>
    </xf>
    <xf numFmtId="0" fontId="16" fillId="0" borderId="53" xfId="0" applyFont="1" applyBorder="1" applyAlignment="1">
      <alignment vertical="center" wrapText="1"/>
    </xf>
    <xf numFmtId="0" fontId="3" fillId="0" borderId="29" xfId="0" applyFont="1" applyBorder="1" applyAlignment="1">
      <alignment horizontal="center" wrapText="1"/>
    </xf>
    <xf numFmtId="0" fontId="3" fillId="2" borderId="48" xfId="0" applyFont="1" applyFill="1" applyBorder="1" applyAlignment="1">
      <alignment horizontal="center" wrapText="1"/>
    </xf>
    <xf numFmtId="0" fontId="12" fillId="0" borderId="74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4" fillId="0" borderId="55" xfId="0" applyFont="1" applyBorder="1" applyAlignment="1"/>
    <xf numFmtId="0" fontId="3" fillId="0" borderId="45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 wrapText="1"/>
    </xf>
    <xf numFmtId="0" fontId="4" fillId="0" borderId="63" xfId="0" applyFont="1" applyBorder="1" applyAlignment="1"/>
    <xf numFmtId="0" fontId="4" fillId="0" borderId="64" xfId="0" applyFont="1" applyBorder="1" applyAlignment="1"/>
    <xf numFmtId="0" fontId="8" fillId="0" borderId="69" xfId="0" applyFont="1" applyBorder="1" applyAlignment="1">
      <alignment horizontal="center" vertical="top" wrapText="1"/>
    </xf>
    <xf numFmtId="0" fontId="8" fillId="0" borderId="7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left" vertical="top" wrapText="1"/>
    </xf>
    <xf numFmtId="0" fontId="3" fillId="0" borderId="69" xfId="0" applyFont="1" applyBorder="1" applyAlignment="1">
      <alignment horizontal="center"/>
    </xf>
    <xf numFmtId="0" fontId="3" fillId="0" borderId="72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 wrapText="1"/>
    </xf>
    <xf numFmtId="0" fontId="19" fillId="0" borderId="72" xfId="0" applyFont="1" applyBorder="1" applyAlignment="1">
      <alignment horizontal="center" vertical="center" wrapText="1"/>
    </xf>
    <xf numFmtId="0" fontId="21" fillId="0" borderId="7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top" wrapText="1"/>
    </xf>
    <xf numFmtId="0" fontId="4" fillId="0" borderId="65" xfId="0" applyFont="1" applyBorder="1" applyAlignment="1"/>
    <xf numFmtId="0" fontId="1" fillId="14" borderId="50" xfId="0" applyFont="1" applyFill="1" applyBorder="1" applyAlignment="1">
      <alignment vertical="top" wrapText="1"/>
    </xf>
    <xf numFmtId="0" fontId="22" fillId="17" borderId="60" xfId="0" applyFont="1" applyFill="1" applyBorder="1" applyAlignment="1">
      <alignment horizontal="center" vertical="top" wrapText="1"/>
    </xf>
    <xf numFmtId="0" fontId="3" fillId="17" borderId="26" xfId="0" applyFont="1" applyFill="1" applyBorder="1" applyAlignment="1">
      <alignment horizontal="center" vertical="top" wrapText="1"/>
    </xf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C1000"/>
  <sheetViews>
    <sheetView showGridLines="0" tabSelected="1" workbookViewId="0">
      <pane xSplit="10" ySplit="7" topLeftCell="K46" activePane="bottomRight" state="frozen"/>
      <selection pane="bottomRight" activeCell="N49" sqref="N49"/>
      <selection pane="bottomLeft" activeCell="A8" sqref="A8"/>
      <selection pane="topRight" activeCell="K1" sqref="K1"/>
    </sheetView>
  </sheetViews>
  <sheetFormatPr defaultColWidth="11.125" defaultRowHeight="15" customHeight="1"/>
  <cols>
    <col min="1" max="1" width="7.625" customWidth="1"/>
    <col min="2" max="2" width="4.5" customWidth="1"/>
    <col min="3" max="3" width="10.5" customWidth="1"/>
    <col min="4" max="4" width="39.625" customWidth="1"/>
    <col min="5" max="5" width="8" customWidth="1"/>
    <col min="6" max="6" width="6.625" customWidth="1"/>
    <col min="7" max="7" width="7.625" customWidth="1"/>
    <col min="8" max="8" width="6.875" customWidth="1"/>
    <col min="9" max="9" width="7" customWidth="1"/>
    <col min="10" max="10" width="4.125" customWidth="1"/>
    <col min="11" max="11" width="3.5" customWidth="1"/>
    <col min="12" max="12" width="22.5" customWidth="1"/>
    <col min="13" max="13" width="20.875" customWidth="1"/>
    <col min="14" max="14" width="19.375" customWidth="1"/>
    <col min="15" max="15" width="22.625" customWidth="1"/>
    <col min="16" max="16" width="20.875" customWidth="1"/>
    <col min="17" max="17" width="18" customWidth="1"/>
    <col min="18" max="18" width="27.375" customWidth="1"/>
    <col min="19" max="19" width="23.625" customWidth="1"/>
    <col min="20" max="20" width="24.875" customWidth="1"/>
    <col min="21" max="21" width="24.5" customWidth="1"/>
    <col min="22" max="22" width="16.125" customWidth="1"/>
    <col min="23" max="23" width="20.5" customWidth="1"/>
    <col min="24" max="24" width="19.125" customWidth="1"/>
    <col min="25" max="25" width="16.625" customWidth="1"/>
    <col min="26" max="26" width="21.375" customWidth="1"/>
    <col min="27" max="27" width="20.625" customWidth="1"/>
    <col min="28" max="28" width="23" customWidth="1"/>
    <col min="29" max="29" width="29" customWidth="1"/>
    <col min="30" max="30" width="28" customWidth="1"/>
    <col min="31" max="31" width="27.125" customWidth="1"/>
    <col min="32" max="32" width="26.625" customWidth="1"/>
    <col min="33" max="33" width="21.375" customWidth="1"/>
    <col min="34" max="34" width="4.375" customWidth="1"/>
    <col min="35" max="35" width="20.625" customWidth="1"/>
    <col min="36" max="36" width="19.5" customWidth="1"/>
    <col min="37" max="37" width="19.875" customWidth="1"/>
    <col min="38" max="38" width="20.375" customWidth="1"/>
    <col min="39" max="39" width="27.375" customWidth="1"/>
    <col min="40" max="40" width="22.875" customWidth="1"/>
    <col min="41" max="41" width="16.125" customWidth="1"/>
    <col min="42" max="42" width="16" customWidth="1"/>
    <col min="43" max="43" width="17.625" customWidth="1"/>
    <col min="44" max="44" width="16.875" customWidth="1"/>
    <col min="45" max="45" width="18.375" customWidth="1"/>
    <col min="46" max="46" width="20.875" customWidth="1"/>
    <col min="47" max="47" width="18.5" customWidth="1"/>
    <col min="48" max="48" width="19" customWidth="1"/>
    <col min="49" max="49" width="14.875" customWidth="1"/>
    <col min="50" max="50" width="18" customWidth="1"/>
    <col min="51" max="53" width="16.5" customWidth="1"/>
    <col min="54" max="54" width="16.125" customWidth="1"/>
    <col min="55" max="55" width="15.5" customWidth="1"/>
    <col min="56" max="57" width="13.875" customWidth="1"/>
    <col min="58" max="58" width="16" customWidth="1"/>
    <col min="59" max="59" width="12.625" customWidth="1"/>
    <col min="60" max="60" width="15.5" customWidth="1"/>
    <col min="61" max="61" width="16.875" customWidth="1"/>
    <col min="62" max="62" width="15.375" customWidth="1"/>
    <col min="63" max="63" width="18.875" customWidth="1"/>
    <col min="64" max="64" width="18.625" customWidth="1"/>
    <col min="65" max="65" width="17.625" customWidth="1"/>
    <col min="66" max="66" width="19.125" customWidth="1"/>
    <col min="67" max="67" width="17.125" customWidth="1"/>
    <col min="68" max="68" width="19.625" customWidth="1"/>
    <col min="69" max="69" width="19.375" customWidth="1"/>
    <col min="70" max="70" width="15" customWidth="1"/>
    <col min="71" max="71" width="20" customWidth="1"/>
    <col min="72" max="72" width="19.125" customWidth="1"/>
    <col min="73" max="73" width="14.875" customWidth="1"/>
    <col min="74" max="74" width="15" customWidth="1"/>
    <col min="75" max="75" width="14.5" customWidth="1"/>
    <col min="76" max="76" width="15.5" customWidth="1"/>
    <col min="77" max="77" width="14.875" customWidth="1"/>
    <col min="78" max="78" width="16" customWidth="1"/>
    <col min="79" max="79" width="4.375" customWidth="1"/>
    <col min="80" max="80" width="17.625" customWidth="1"/>
    <col min="81" max="81" width="16.625" customWidth="1"/>
    <col min="82" max="82" width="17.625" customWidth="1"/>
    <col min="83" max="83" width="18.875" customWidth="1"/>
    <col min="84" max="84" width="20.625" customWidth="1"/>
    <col min="85" max="85" width="19.625" customWidth="1"/>
    <col min="86" max="86" width="19.875" customWidth="1"/>
    <col min="87" max="87" width="17.5" customWidth="1"/>
    <col min="88" max="89" width="17.875" customWidth="1"/>
    <col min="90" max="90" width="18.125" customWidth="1"/>
    <col min="91" max="92" width="19.625" customWidth="1"/>
    <col min="93" max="93" width="22" customWidth="1"/>
    <col min="94" max="94" width="21.875" customWidth="1"/>
    <col min="95" max="96" width="23" customWidth="1"/>
    <col min="97" max="97" width="18" customWidth="1"/>
    <col min="98" max="98" width="25.5" customWidth="1"/>
    <col min="99" max="99" width="15" customWidth="1"/>
    <col min="100" max="100" width="21" customWidth="1"/>
    <col min="101" max="101" width="19.125" customWidth="1"/>
    <col min="102" max="102" width="18.5" customWidth="1"/>
    <col min="103" max="105" width="19.125" customWidth="1"/>
    <col min="106" max="106" width="14.375" customWidth="1"/>
    <col min="107" max="107" width="18.125" customWidth="1"/>
  </cols>
  <sheetData>
    <row r="1" spans="1:107" ht="16.5" customHeight="1">
      <c r="A1" s="1"/>
      <c r="B1" s="2"/>
      <c r="C1" s="1"/>
      <c r="D1" s="1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4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67.5" customHeight="1">
      <c r="A2" s="322" t="s">
        <v>0</v>
      </c>
      <c r="B2" s="323"/>
      <c r="C2" s="323"/>
      <c r="D2" s="323"/>
      <c r="E2" s="323"/>
      <c r="F2" s="323"/>
      <c r="G2" s="323"/>
      <c r="H2" s="323"/>
      <c r="I2" s="323"/>
      <c r="J2" s="32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4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37.5" customHeight="1">
      <c r="A3" s="319" t="s">
        <v>1</v>
      </c>
      <c r="B3" s="325"/>
      <c r="C3" s="325"/>
      <c r="D3" s="325"/>
      <c r="E3" s="5"/>
      <c r="F3" s="5"/>
      <c r="G3" s="5"/>
      <c r="H3" s="5"/>
      <c r="I3" s="5"/>
      <c r="J3" s="1"/>
      <c r="K3" s="1"/>
      <c r="L3" s="326" t="s">
        <v>2</v>
      </c>
      <c r="M3" s="323"/>
      <c r="N3" s="323"/>
      <c r="O3" s="324"/>
      <c r="P3" s="327" t="s">
        <v>3</v>
      </c>
      <c r="Q3" s="323"/>
      <c r="R3" s="324"/>
      <c r="S3" s="327" t="s">
        <v>4</v>
      </c>
      <c r="T3" s="323"/>
      <c r="U3" s="324"/>
      <c r="V3" s="327" t="s">
        <v>5</v>
      </c>
      <c r="W3" s="323"/>
      <c r="X3" s="323"/>
      <c r="Y3" s="323"/>
      <c r="Z3" s="324"/>
      <c r="AA3" s="327" t="s">
        <v>6</v>
      </c>
      <c r="AB3" s="323"/>
      <c r="AC3" s="324"/>
      <c r="AD3" s="327" t="s">
        <v>7</v>
      </c>
      <c r="AE3" s="324"/>
      <c r="AF3" s="327" t="s">
        <v>8</v>
      </c>
      <c r="AG3" s="324"/>
      <c r="AH3" s="1"/>
      <c r="AI3" s="327" t="s">
        <v>9</v>
      </c>
      <c r="AJ3" s="323"/>
      <c r="AK3" s="323"/>
      <c r="AL3" s="323"/>
      <c r="AM3" s="323"/>
      <c r="AN3" s="323"/>
      <c r="AO3" s="323"/>
      <c r="AP3" s="324"/>
      <c r="AQ3" s="327" t="s">
        <v>10</v>
      </c>
      <c r="AR3" s="323"/>
      <c r="AS3" s="323"/>
      <c r="AT3" s="323"/>
      <c r="AU3" s="323"/>
      <c r="AV3" s="324"/>
      <c r="AW3" s="327" t="s">
        <v>11</v>
      </c>
      <c r="AX3" s="323"/>
      <c r="AY3" s="323"/>
      <c r="AZ3" s="323"/>
      <c r="BA3" s="323"/>
      <c r="BB3" s="324"/>
      <c r="BC3" s="328" t="s">
        <v>12</v>
      </c>
      <c r="BD3" s="323"/>
      <c r="BE3" s="323"/>
      <c r="BF3" s="323"/>
      <c r="BG3" s="323"/>
      <c r="BH3" s="324"/>
      <c r="BI3" s="327" t="s">
        <v>13</v>
      </c>
      <c r="BJ3" s="323"/>
      <c r="BK3" s="323"/>
      <c r="BL3" s="323"/>
      <c r="BM3" s="323"/>
      <c r="BN3" s="323"/>
      <c r="BO3" s="323"/>
      <c r="BP3" s="323"/>
      <c r="BQ3" s="324"/>
      <c r="BR3" s="327" t="s">
        <v>14</v>
      </c>
      <c r="BS3" s="323"/>
      <c r="BT3" s="323"/>
      <c r="BU3" s="323"/>
      <c r="BV3" s="323"/>
      <c r="BW3" s="323"/>
      <c r="BX3" s="323"/>
      <c r="BY3" s="323"/>
      <c r="BZ3" s="324"/>
      <c r="CA3" s="4"/>
      <c r="CB3" s="329" t="s">
        <v>15</v>
      </c>
      <c r="CC3" s="323"/>
      <c r="CD3" s="323"/>
      <c r="CE3" s="323"/>
      <c r="CF3" s="323"/>
      <c r="CG3" s="323"/>
      <c r="CH3" s="323"/>
      <c r="CI3" s="323"/>
      <c r="CJ3" s="323"/>
      <c r="CK3" s="323"/>
      <c r="CL3" s="323"/>
      <c r="CM3" s="323"/>
      <c r="CN3" s="323"/>
      <c r="CO3" s="324"/>
      <c r="CP3" s="329" t="s">
        <v>16</v>
      </c>
      <c r="CQ3" s="323"/>
      <c r="CR3" s="323"/>
      <c r="CS3" s="323"/>
      <c r="CT3" s="323"/>
      <c r="CU3" s="323"/>
      <c r="CV3" s="323"/>
      <c r="CW3" s="323"/>
      <c r="CX3" s="323"/>
      <c r="CY3" s="323"/>
      <c r="CZ3" s="323"/>
      <c r="DA3" s="323"/>
      <c r="DB3" s="323"/>
      <c r="DC3" s="324"/>
    </row>
    <row r="4" spans="1:107" ht="69.75" customHeight="1">
      <c r="A4" s="6"/>
      <c r="B4" s="2"/>
      <c r="C4" s="6"/>
      <c r="D4" s="7" t="s">
        <v>17</v>
      </c>
      <c r="E4" s="8"/>
      <c r="F4" s="7"/>
      <c r="G4" s="7"/>
      <c r="H4" s="7"/>
      <c r="I4" s="7"/>
      <c r="J4" s="6"/>
      <c r="K4" s="6"/>
      <c r="L4" s="330" t="s">
        <v>18</v>
      </c>
      <c r="M4" s="331"/>
      <c r="N4" s="331"/>
      <c r="O4" s="332"/>
      <c r="P4" s="333" t="s">
        <v>19</v>
      </c>
      <c r="Q4" s="331"/>
      <c r="R4" s="332"/>
      <c r="S4" s="334" t="s">
        <v>20</v>
      </c>
      <c r="T4" s="331"/>
      <c r="U4" s="332"/>
      <c r="V4" s="335" t="s">
        <v>21</v>
      </c>
      <c r="W4" s="331"/>
      <c r="X4" s="331"/>
      <c r="Y4" s="331"/>
      <c r="Z4" s="332"/>
      <c r="AA4" s="336" t="s">
        <v>22</v>
      </c>
      <c r="AB4" s="331"/>
      <c r="AC4" s="332"/>
      <c r="AD4" s="337" t="s">
        <v>23</v>
      </c>
      <c r="AE4" s="332"/>
      <c r="AF4" s="338" t="s">
        <v>24</v>
      </c>
      <c r="AG4" s="332"/>
      <c r="AH4" s="9"/>
      <c r="AI4" s="339" t="s">
        <v>25</v>
      </c>
      <c r="AJ4" s="331"/>
      <c r="AK4" s="331"/>
      <c r="AL4" s="331"/>
      <c r="AM4" s="331"/>
      <c r="AN4" s="331"/>
      <c r="AO4" s="331"/>
      <c r="AP4" s="340"/>
      <c r="AQ4" s="335" t="s">
        <v>26</v>
      </c>
      <c r="AR4" s="331"/>
      <c r="AS4" s="331"/>
      <c r="AT4" s="331"/>
      <c r="AU4" s="331"/>
      <c r="AV4" s="331"/>
      <c r="AW4" s="341" t="s">
        <v>27</v>
      </c>
      <c r="AX4" s="331"/>
      <c r="AY4" s="331"/>
      <c r="AZ4" s="331"/>
      <c r="BA4" s="331"/>
      <c r="BB4" s="331"/>
      <c r="BC4" s="342" t="s">
        <v>28</v>
      </c>
      <c r="BD4" s="331"/>
      <c r="BE4" s="331"/>
      <c r="BF4" s="331"/>
      <c r="BG4" s="331"/>
      <c r="BH4" s="332"/>
      <c r="BI4" s="338" t="s">
        <v>29</v>
      </c>
      <c r="BJ4" s="331"/>
      <c r="BK4" s="331"/>
      <c r="BL4" s="331"/>
      <c r="BM4" s="331"/>
      <c r="BN4" s="331"/>
      <c r="BO4" s="331"/>
      <c r="BP4" s="331"/>
      <c r="BQ4" s="331"/>
      <c r="BR4" s="343" t="s">
        <v>30</v>
      </c>
      <c r="BS4" s="331"/>
      <c r="BT4" s="331"/>
      <c r="BU4" s="331"/>
      <c r="BV4" s="331"/>
      <c r="BW4" s="331"/>
      <c r="BX4" s="331"/>
      <c r="BY4" s="331"/>
      <c r="BZ4" s="332"/>
      <c r="CA4" s="9"/>
      <c r="CB4" s="344" t="s">
        <v>31</v>
      </c>
      <c r="CC4" s="345"/>
      <c r="CD4" s="345"/>
      <c r="CE4" s="345"/>
      <c r="CF4" s="345"/>
      <c r="CG4" s="345"/>
      <c r="CH4" s="345"/>
      <c r="CI4" s="345"/>
      <c r="CJ4" s="345"/>
      <c r="CK4" s="345"/>
      <c r="CL4" s="345"/>
      <c r="CM4" s="345"/>
      <c r="CN4" s="345"/>
      <c r="CO4" s="346"/>
      <c r="CP4" s="347" t="s">
        <v>32</v>
      </c>
      <c r="CQ4" s="345"/>
      <c r="CR4" s="345"/>
      <c r="CS4" s="345"/>
      <c r="CT4" s="345"/>
      <c r="CU4" s="345"/>
      <c r="CV4" s="345"/>
      <c r="CW4" s="345"/>
      <c r="CX4" s="345"/>
      <c r="CY4" s="345"/>
      <c r="CZ4" s="345"/>
      <c r="DA4" s="345"/>
      <c r="DB4" s="345"/>
      <c r="DC4" s="348"/>
    </row>
    <row r="5" spans="1:107" ht="53.25" customHeight="1">
      <c r="A5" s="10"/>
      <c r="B5" s="2"/>
      <c r="C5" s="10"/>
      <c r="D5" s="11" t="s">
        <v>33</v>
      </c>
      <c r="E5" s="12"/>
      <c r="F5" s="11"/>
      <c r="G5" s="11"/>
      <c r="H5" s="11"/>
      <c r="I5" s="11"/>
      <c r="J5" s="10"/>
      <c r="K5" s="10"/>
      <c r="L5" s="349" t="s">
        <v>34</v>
      </c>
      <c r="M5" s="350"/>
      <c r="N5" s="351"/>
      <c r="O5" s="13" t="s">
        <v>35</v>
      </c>
      <c r="P5" s="352" t="s">
        <v>36</v>
      </c>
      <c r="Q5" s="351"/>
      <c r="R5" s="14" t="s">
        <v>37</v>
      </c>
      <c r="S5" s="353" t="s">
        <v>38</v>
      </c>
      <c r="T5" s="351"/>
      <c r="U5" s="15" t="s">
        <v>39</v>
      </c>
      <c r="V5" s="354" t="s">
        <v>40</v>
      </c>
      <c r="W5" s="350"/>
      <c r="X5" s="350"/>
      <c r="Y5" s="351"/>
      <c r="Z5" s="16" t="s">
        <v>41</v>
      </c>
      <c r="AA5" s="355" t="s">
        <v>42</v>
      </c>
      <c r="AB5" s="351"/>
      <c r="AC5" s="17" t="s">
        <v>43</v>
      </c>
      <c r="AD5" s="18" t="s">
        <v>44</v>
      </c>
      <c r="AE5" s="19" t="s">
        <v>45</v>
      </c>
      <c r="AF5" s="20" t="s">
        <v>46</v>
      </c>
      <c r="AG5" s="21" t="s">
        <v>47</v>
      </c>
      <c r="AH5" s="22"/>
      <c r="AI5" s="356" t="s">
        <v>48</v>
      </c>
      <c r="AJ5" s="351"/>
      <c r="AK5" s="356" t="s">
        <v>49</v>
      </c>
      <c r="AL5" s="350"/>
      <c r="AM5" s="351"/>
      <c r="AN5" s="356" t="s">
        <v>50</v>
      </c>
      <c r="AO5" s="350"/>
      <c r="AP5" s="351"/>
      <c r="AQ5" s="354" t="s">
        <v>51</v>
      </c>
      <c r="AR5" s="351"/>
      <c r="AS5" s="357" t="s">
        <v>52</v>
      </c>
      <c r="AT5" s="351"/>
      <c r="AU5" s="357" t="s">
        <v>53</v>
      </c>
      <c r="AV5" s="350"/>
      <c r="AW5" s="358" t="s">
        <v>54</v>
      </c>
      <c r="AX5" s="351"/>
      <c r="AY5" s="359" t="s">
        <v>55</v>
      </c>
      <c r="AZ5" s="350"/>
      <c r="BA5" s="359" t="s">
        <v>56</v>
      </c>
      <c r="BB5" s="350"/>
      <c r="BC5" s="360" t="s">
        <v>57</v>
      </c>
      <c r="BD5" s="351"/>
      <c r="BE5" s="361" t="s">
        <v>58</v>
      </c>
      <c r="BF5" s="351"/>
      <c r="BG5" s="361" t="s">
        <v>59</v>
      </c>
      <c r="BH5" s="362"/>
      <c r="BI5" s="363" t="s">
        <v>60</v>
      </c>
      <c r="BJ5" s="350"/>
      <c r="BK5" s="350"/>
      <c r="BL5" s="350"/>
      <c r="BM5" s="351"/>
      <c r="BN5" s="364" t="s">
        <v>61</v>
      </c>
      <c r="BO5" s="351"/>
      <c r="BP5" s="365" t="s">
        <v>62</v>
      </c>
      <c r="BQ5" s="362"/>
      <c r="BR5" s="366" t="s">
        <v>63</v>
      </c>
      <c r="BS5" s="350"/>
      <c r="BT5" s="351"/>
      <c r="BU5" s="367" t="s">
        <v>64</v>
      </c>
      <c r="BV5" s="350"/>
      <c r="BW5" s="351"/>
      <c r="BX5" s="367" t="s">
        <v>65</v>
      </c>
      <c r="BY5" s="350"/>
      <c r="BZ5" s="362"/>
      <c r="CA5" s="22"/>
      <c r="CB5" s="368" t="s">
        <v>66</v>
      </c>
      <c r="CC5" s="323"/>
      <c r="CD5" s="323"/>
      <c r="CE5" s="324"/>
      <c r="CF5" s="368" t="s">
        <v>67</v>
      </c>
      <c r="CG5" s="323"/>
      <c r="CH5" s="323"/>
      <c r="CI5" s="323"/>
      <c r="CJ5" s="323"/>
      <c r="CK5" s="323"/>
      <c r="CL5" s="324"/>
      <c r="CM5" s="368" t="s">
        <v>68</v>
      </c>
      <c r="CN5" s="323"/>
      <c r="CO5" s="324"/>
      <c r="CP5" s="369" t="s">
        <v>69</v>
      </c>
      <c r="CQ5" s="350"/>
      <c r="CR5" s="350"/>
      <c r="CS5" s="351"/>
      <c r="CT5" s="370" t="s">
        <v>70</v>
      </c>
      <c r="CU5" s="350"/>
      <c r="CV5" s="350"/>
      <c r="CW5" s="350"/>
      <c r="CX5" s="370" t="s">
        <v>71</v>
      </c>
      <c r="CY5" s="350"/>
      <c r="CZ5" s="350"/>
      <c r="DA5" s="350"/>
      <c r="DB5" s="350"/>
      <c r="DC5" s="351"/>
    </row>
    <row r="6" spans="1:107" ht="69.75" customHeight="1">
      <c r="A6" s="1"/>
      <c r="B6" s="23" t="s">
        <v>72</v>
      </c>
      <c r="C6" s="23" t="s">
        <v>73</v>
      </c>
      <c r="D6" s="24" t="s">
        <v>74</v>
      </c>
      <c r="E6" s="25" t="s">
        <v>75</v>
      </c>
      <c r="F6" s="26" t="s">
        <v>76</v>
      </c>
      <c r="G6" s="25" t="s">
        <v>77</v>
      </c>
      <c r="H6" s="25" t="s">
        <v>78</v>
      </c>
      <c r="I6" s="25" t="s">
        <v>79</v>
      </c>
      <c r="J6" s="1"/>
      <c r="K6" s="1"/>
      <c r="L6" s="27" t="s">
        <v>80</v>
      </c>
      <c r="M6" s="371" t="s">
        <v>81</v>
      </c>
      <c r="N6" s="371" t="s">
        <v>82</v>
      </c>
      <c r="O6" s="28" t="s">
        <v>83</v>
      </c>
      <c r="P6" s="27" t="s">
        <v>84</v>
      </c>
      <c r="Q6" s="371" t="s">
        <v>85</v>
      </c>
      <c r="R6" s="28" t="s">
        <v>86</v>
      </c>
      <c r="S6" s="27" t="s">
        <v>87</v>
      </c>
      <c r="T6" s="371" t="s">
        <v>88</v>
      </c>
      <c r="U6" s="28" t="s">
        <v>89</v>
      </c>
      <c r="V6" s="27" t="s">
        <v>90</v>
      </c>
      <c r="W6" s="371" t="s">
        <v>91</v>
      </c>
      <c r="X6" s="371" t="s">
        <v>92</v>
      </c>
      <c r="Y6" s="371" t="s">
        <v>93</v>
      </c>
      <c r="Z6" s="28" t="s">
        <v>94</v>
      </c>
      <c r="AA6" s="27" t="s">
        <v>95</v>
      </c>
      <c r="AB6" s="371" t="s">
        <v>96</v>
      </c>
      <c r="AC6" s="28" t="s">
        <v>97</v>
      </c>
      <c r="AD6" s="27" t="s">
        <v>98</v>
      </c>
      <c r="AE6" s="28" t="s">
        <v>99</v>
      </c>
      <c r="AF6" s="27" t="s">
        <v>100</v>
      </c>
      <c r="AG6" s="28" t="s">
        <v>101</v>
      </c>
      <c r="AH6" s="4"/>
      <c r="AI6" s="29" t="s">
        <v>102</v>
      </c>
      <c r="AJ6" s="29" t="s">
        <v>103</v>
      </c>
      <c r="AK6" s="29" t="s">
        <v>104</v>
      </c>
      <c r="AL6" s="29" t="s">
        <v>105</v>
      </c>
      <c r="AM6" s="29" t="s">
        <v>106</v>
      </c>
      <c r="AN6" s="29" t="s">
        <v>107</v>
      </c>
      <c r="AO6" s="29" t="s">
        <v>108</v>
      </c>
      <c r="AP6" s="29" t="s">
        <v>109</v>
      </c>
      <c r="AQ6" s="30" t="s">
        <v>110</v>
      </c>
      <c r="AR6" s="29" t="s">
        <v>111</v>
      </c>
      <c r="AS6" s="29" t="s">
        <v>112</v>
      </c>
      <c r="AT6" s="29" t="s">
        <v>113</v>
      </c>
      <c r="AU6" s="29" t="s">
        <v>114</v>
      </c>
      <c r="AV6" s="372" t="s">
        <v>115</v>
      </c>
      <c r="AW6" s="30" t="s">
        <v>116</v>
      </c>
      <c r="AX6" s="29" t="s">
        <v>117</v>
      </c>
      <c r="AY6" s="29" t="s">
        <v>118</v>
      </c>
      <c r="AZ6" s="29" t="s">
        <v>119</v>
      </c>
      <c r="BA6" s="29" t="s">
        <v>120</v>
      </c>
      <c r="BB6" s="372" t="s">
        <v>121</v>
      </c>
      <c r="BC6" s="30" t="s">
        <v>122</v>
      </c>
      <c r="BD6" s="29" t="s">
        <v>123</v>
      </c>
      <c r="BE6" s="29" t="s">
        <v>124</v>
      </c>
      <c r="BF6" s="29" t="s">
        <v>125</v>
      </c>
      <c r="BG6" s="29" t="s">
        <v>126</v>
      </c>
      <c r="BH6" s="31" t="s">
        <v>127</v>
      </c>
      <c r="BI6" s="27" t="s">
        <v>128</v>
      </c>
      <c r="BJ6" s="29" t="s">
        <v>129</v>
      </c>
      <c r="BK6" s="29" t="s">
        <v>130</v>
      </c>
      <c r="BL6" s="29" t="s">
        <v>131</v>
      </c>
      <c r="BM6" s="29" t="s">
        <v>132</v>
      </c>
      <c r="BN6" s="29" t="s">
        <v>133</v>
      </c>
      <c r="BO6" s="29" t="s">
        <v>134</v>
      </c>
      <c r="BP6" s="29" t="s">
        <v>135</v>
      </c>
      <c r="BQ6" s="372" t="s">
        <v>136</v>
      </c>
      <c r="BR6" s="30" t="s">
        <v>137</v>
      </c>
      <c r="BS6" s="29" t="s">
        <v>138</v>
      </c>
      <c r="BT6" s="29" t="s">
        <v>139</v>
      </c>
      <c r="BU6" s="29" t="s">
        <v>140</v>
      </c>
      <c r="BV6" s="29" t="s">
        <v>141</v>
      </c>
      <c r="BW6" s="29" t="s">
        <v>142</v>
      </c>
      <c r="BX6" s="29" t="s">
        <v>143</v>
      </c>
      <c r="BY6" s="29" t="s">
        <v>144</v>
      </c>
      <c r="BZ6" s="31" t="s">
        <v>145</v>
      </c>
      <c r="CA6" s="4"/>
      <c r="CB6" s="32" t="s">
        <v>146</v>
      </c>
      <c r="CC6" s="33" t="s">
        <v>147</v>
      </c>
      <c r="CD6" s="34" t="s">
        <v>148</v>
      </c>
      <c r="CE6" s="32" t="s">
        <v>149</v>
      </c>
      <c r="CF6" s="35" t="s">
        <v>150</v>
      </c>
      <c r="CG6" s="35" t="s">
        <v>151</v>
      </c>
      <c r="CH6" s="35" t="s">
        <v>152</v>
      </c>
      <c r="CI6" s="35" t="s">
        <v>153</v>
      </c>
      <c r="CJ6" s="35" t="s">
        <v>154</v>
      </c>
      <c r="CK6" s="35" t="s">
        <v>155</v>
      </c>
      <c r="CL6" s="35" t="s">
        <v>156</v>
      </c>
      <c r="CM6" s="36" t="s">
        <v>157</v>
      </c>
      <c r="CN6" s="36" t="s">
        <v>158</v>
      </c>
      <c r="CO6" s="36" t="s">
        <v>159</v>
      </c>
      <c r="CP6" s="37" t="s">
        <v>160</v>
      </c>
      <c r="CQ6" s="37" t="s">
        <v>161</v>
      </c>
      <c r="CR6" s="37" t="s">
        <v>162</v>
      </c>
      <c r="CS6" s="37" t="s">
        <v>163</v>
      </c>
      <c r="CT6" s="373" t="s">
        <v>164</v>
      </c>
      <c r="CU6" s="373" t="s">
        <v>165</v>
      </c>
      <c r="CV6" s="373" t="s">
        <v>166</v>
      </c>
      <c r="CW6" s="374" t="s">
        <v>167</v>
      </c>
      <c r="CX6" s="375" t="s">
        <v>168</v>
      </c>
      <c r="CY6" s="38" t="s">
        <v>169</v>
      </c>
      <c r="CZ6" s="38" t="s">
        <v>170</v>
      </c>
      <c r="DA6" s="39" t="s">
        <v>171</v>
      </c>
      <c r="DB6" s="375" t="s">
        <v>172</v>
      </c>
      <c r="DC6" s="38" t="s">
        <v>173</v>
      </c>
    </row>
    <row r="7" spans="1:107" ht="23.25" customHeight="1">
      <c r="A7" s="12"/>
      <c r="B7" s="40"/>
      <c r="C7" s="12"/>
      <c r="D7" s="12"/>
      <c r="E7" s="12"/>
      <c r="F7" s="12"/>
      <c r="G7" s="12"/>
      <c r="H7" s="12"/>
      <c r="I7" s="12"/>
      <c r="J7" s="12"/>
      <c r="K7" s="12"/>
      <c r="L7" s="376">
        <f t="shared" ref="L7:AG7" si="0">COUNTIF(L8:L62,"X")</f>
        <v>12</v>
      </c>
      <c r="M7" s="377">
        <f t="shared" si="0"/>
        <v>12</v>
      </c>
      <c r="N7" s="377">
        <f t="shared" si="0"/>
        <v>12</v>
      </c>
      <c r="O7" s="41">
        <f t="shared" si="0"/>
        <v>12</v>
      </c>
      <c r="P7" s="376">
        <f t="shared" si="0"/>
        <v>5</v>
      </c>
      <c r="Q7" s="377">
        <f t="shared" si="0"/>
        <v>4</v>
      </c>
      <c r="R7" s="41">
        <f t="shared" si="0"/>
        <v>3</v>
      </c>
      <c r="S7" s="376">
        <f t="shared" si="0"/>
        <v>7</v>
      </c>
      <c r="T7" s="377">
        <f t="shared" si="0"/>
        <v>7</v>
      </c>
      <c r="U7" s="41">
        <f t="shared" si="0"/>
        <v>6</v>
      </c>
      <c r="V7" s="376">
        <f t="shared" si="0"/>
        <v>12</v>
      </c>
      <c r="W7" s="377">
        <f t="shared" si="0"/>
        <v>13</v>
      </c>
      <c r="X7" s="377">
        <f t="shared" si="0"/>
        <v>13</v>
      </c>
      <c r="Y7" s="377">
        <f t="shared" si="0"/>
        <v>12</v>
      </c>
      <c r="Z7" s="41">
        <f t="shared" si="0"/>
        <v>15</v>
      </c>
      <c r="AA7" s="376">
        <f t="shared" si="0"/>
        <v>5</v>
      </c>
      <c r="AB7" s="377">
        <f t="shared" si="0"/>
        <v>6</v>
      </c>
      <c r="AC7" s="41">
        <f t="shared" si="0"/>
        <v>8</v>
      </c>
      <c r="AD7" s="376">
        <f t="shared" si="0"/>
        <v>3</v>
      </c>
      <c r="AE7" s="41">
        <f t="shared" si="0"/>
        <v>2</v>
      </c>
      <c r="AF7" s="376">
        <f t="shared" si="0"/>
        <v>1</v>
      </c>
      <c r="AG7" s="42">
        <f t="shared" si="0"/>
        <v>5</v>
      </c>
      <c r="AH7" s="43"/>
      <c r="AI7" s="378">
        <f t="shared" ref="AI7:BZ7" si="1">COUNTIF(AI8:AI62,"X")</f>
        <v>2</v>
      </c>
      <c r="AJ7" s="378">
        <f t="shared" si="1"/>
        <v>0</v>
      </c>
      <c r="AK7" s="378">
        <f t="shared" si="1"/>
        <v>3</v>
      </c>
      <c r="AL7" s="378">
        <f t="shared" si="1"/>
        <v>4</v>
      </c>
      <c r="AM7" s="378">
        <f t="shared" si="1"/>
        <v>2</v>
      </c>
      <c r="AN7" s="378">
        <f t="shared" si="1"/>
        <v>3</v>
      </c>
      <c r="AO7" s="378">
        <f t="shared" si="1"/>
        <v>3</v>
      </c>
      <c r="AP7" s="378">
        <f t="shared" si="1"/>
        <v>3</v>
      </c>
      <c r="AQ7" s="44">
        <f t="shared" si="1"/>
        <v>10</v>
      </c>
      <c r="AR7" s="378">
        <f t="shared" si="1"/>
        <v>11</v>
      </c>
      <c r="AS7" s="378">
        <f t="shared" si="1"/>
        <v>13</v>
      </c>
      <c r="AT7" s="378">
        <f t="shared" si="1"/>
        <v>19</v>
      </c>
      <c r="AU7" s="378">
        <f t="shared" si="1"/>
        <v>6</v>
      </c>
      <c r="AV7" s="45">
        <f t="shared" si="1"/>
        <v>6</v>
      </c>
      <c r="AW7" s="44">
        <f t="shared" si="1"/>
        <v>2</v>
      </c>
      <c r="AX7" s="378">
        <f t="shared" si="1"/>
        <v>2</v>
      </c>
      <c r="AY7" s="378">
        <f t="shared" si="1"/>
        <v>2</v>
      </c>
      <c r="AZ7" s="378">
        <f t="shared" si="1"/>
        <v>3</v>
      </c>
      <c r="BA7" s="378">
        <f t="shared" si="1"/>
        <v>6</v>
      </c>
      <c r="BB7" s="45">
        <f t="shared" si="1"/>
        <v>6</v>
      </c>
      <c r="BC7" s="44">
        <f t="shared" si="1"/>
        <v>2</v>
      </c>
      <c r="BD7" s="378">
        <f t="shared" si="1"/>
        <v>1</v>
      </c>
      <c r="BE7" s="378">
        <f t="shared" si="1"/>
        <v>2</v>
      </c>
      <c r="BF7" s="378">
        <f t="shared" si="1"/>
        <v>16</v>
      </c>
      <c r="BG7" s="378">
        <f t="shared" si="1"/>
        <v>6</v>
      </c>
      <c r="BH7" s="45">
        <f t="shared" si="1"/>
        <v>3</v>
      </c>
      <c r="BI7" s="42">
        <f t="shared" si="1"/>
        <v>4</v>
      </c>
      <c r="BJ7" s="379">
        <f t="shared" si="1"/>
        <v>1</v>
      </c>
      <c r="BK7" s="378">
        <f t="shared" si="1"/>
        <v>2</v>
      </c>
      <c r="BL7" s="378">
        <f t="shared" si="1"/>
        <v>4</v>
      </c>
      <c r="BM7" s="378">
        <f t="shared" si="1"/>
        <v>2</v>
      </c>
      <c r="BN7" s="378">
        <f t="shared" si="1"/>
        <v>13</v>
      </c>
      <c r="BO7" s="378">
        <f t="shared" si="1"/>
        <v>6</v>
      </c>
      <c r="BP7" s="378">
        <f t="shared" si="1"/>
        <v>6</v>
      </c>
      <c r="BQ7" s="45">
        <f t="shared" si="1"/>
        <v>6</v>
      </c>
      <c r="BR7" s="44">
        <f t="shared" si="1"/>
        <v>11</v>
      </c>
      <c r="BS7" s="378">
        <f t="shared" si="1"/>
        <v>2</v>
      </c>
      <c r="BT7" s="378">
        <f t="shared" si="1"/>
        <v>1</v>
      </c>
      <c r="BU7" s="378">
        <f t="shared" si="1"/>
        <v>11</v>
      </c>
      <c r="BV7" s="378">
        <f t="shared" si="1"/>
        <v>3</v>
      </c>
      <c r="BW7" s="378">
        <f t="shared" si="1"/>
        <v>4</v>
      </c>
      <c r="BX7" s="378">
        <f t="shared" si="1"/>
        <v>6</v>
      </c>
      <c r="BY7" s="378">
        <f t="shared" si="1"/>
        <v>5</v>
      </c>
      <c r="BZ7" s="46">
        <f t="shared" si="1"/>
        <v>5</v>
      </c>
      <c r="CA7" s="43"/>
      <c r="CB7" s="42">
        <f t="shared" ref="CB7:DC7" si="2">COUNTIF(CB8:CB62,"X")</f>
        <v>1</v>
      </c>
      <c r="CC7" s="47">
        <f t="shared" si="2"/>
        <v>3</v>
      </c>
      <c r="CD7" s="47">
        <f t="shared" si="2"/>
        <v>3</v>
      </c>
      <c r="CE7" s="47">
        <f t="shared" si="2"/>
        <v>2</v>
      </c>
      <c r="CF7" s="380">
        <f t="shared" si="2"/>
        <v>13</v>
      </c>
      <c r="CG7" s="380">
        <f t="shared" si="2"/>
        <v>2</v>
      </c>
      <c r="CH7" s="380">
        <f t="shared" si="2"/>
        <v>2</v>
      </c>
      <c r="CI7" s="380">
        <f t="shared" si="2"/>
        <v>2</v>
      </c>
      <c r="CJ7" s="380">
        <f t="shared" si="2"/>
        <v>2</v>
      </c>
      <c r="CK7" s="380">
        <f t="shared" si="2"/>
        <v>4</v>
      </c>
      <c r="CL7" s="380">
        <f t="shared" si="2"/>
        <v>1</v>
      </c>
      <c r="CM7" s="380">
        <f t="shared" si="2"/>
        <v>6</v>
      </c>
      <c r="CN7" s="380">
        <f t="shared" si="2"/>
        <v>3</v>
      </c>
      <c r="CO7" s="381">
        <f t="shared" si="2"/>
        <v>4</v>
      </c>
      <c r="CP7" s="382">
        <f t="shared" si="2"/>
        <v>3</v>
      </c>
      <c r="CQ7" s="48">
        <f t="shared" si="2"/>
        <v>1</v>
      </c>
      <c r="CR7" s="383">
        <f t="shared" si="2"/>
        <v>1</v>
      </c>
      <c r="CS7" s="49">
        <f t="shared" si="2"/>
        <v>1</v>
      </c>
      <c r="CT7" s="42">
        <f t="shared" si="2"/>
        <v>3</v>
      </c>
      <c r="CU7" s="42">
        <f t="shared" si="2"/>
        <v>4</v>
      </c>
      <c r="CV7" s="42">
        <f t="shared" si="2"/>
        <v>5</v>
      </c>
      <c r="CW7" s="383">
        <f t="shared" si="2"/>
        <v>1</v>
      </c>
      <c r="CX7" s="49">
        <f t="shared" si="2"/>
        <v>2</v>
      </c>
      <c r="CY7" s="49">
        <f t="shared" si="2"/>
        <v>2</v>
      </c>
      <c r="CZ7" s="49">
        <f t="shared" si="2"/>
        <v>2</v>
      </c>
      <c r="DA7" s="49">
        <f t="shared" si="2"/>
        <v>2</v>
      </c>
      <c r="DB7" s="49">
        <f t="shared" si="2"/>
        <v>3</v>
      </c>
      <c r="DC7" s="50">
        <f t="shared" si="2"/>
        <v>4</v>
      </c>
    </row>
    <row r="8" spans="1:107" ht="35.25" customHeight="1">
      <c r="A8" s="320" t="s">
        <v>174</v>
      </c>
      <c r="B8" s="384">
        <v>1</v>
      </c>
      <c r="C8" s="51" t="s">
        <v>175</v>
      </c>
      <c r="D8" s="52" t="s">
        <v>176</v>
      </c>
      <c r="E8" s="53">
        <v>8</v>
      </c>
      <c r="F8" s="54">
        <f t="shared" ref="F8:F26" si="3">SUM(G8:I8)</f>
        <v>8</v>
      </c>
      <c r="G8" s="55">
        <f t="shared" ref="G8:G26" si="4">COUNTIF(L8:AG8,"X")</f>
        <v>7</v>
      </c>
      <c r="H8" s="55">
        <f t="shared" ref="H8:H26" si="5">COUNTIF(AI8:BZ8,"X")</f>
        <v>1</v>
      </c>
      <c r="I8" s="56">
        <f t="shared" ref="I8:I26" si="6">COUNTIF(CB8:DC8,"X")</f>
        <v>0</v>
      </c>
      <c r="J8" s="1"/>
      <c r="K8" s="1"/>
      <c r="L8" s="57" t="s">
        <v>177</v>
      </c>
      <c r="M8" s="58" t="s">
        <v>177</v>
      </c>
      <c r="N8" s="58" t="s">
        <v>177</v>
      </c>
      <c r="O8" s="59"/>
      <c r="P8" s="60"/>
      <c r="Q8" s="61"/>
      <c r="R8" s="385"/>
      <c r="S8" s="57"/>
      <c r="T8" s="61"/>
      <c r="U8" s="59"/>
      <c r="V8" s="57" t="s">
        <v>177</v>
      </c>
      <c r="W8" s="58" t="s">
        <v>177</v>
      </c>
      <c r="X8" s="58" t="s">
        <v>177</v>
      </c>
      <c r="Y8" s="58" t="s">
        <v>177</v>
      </c>
      <c r="Z8" s="59"/>
      <c r="AA8" s="57"/>
      <c r="AB8" s="61"/>
      <c r="AC8" s="59"/>
      <c r="AD8" s="57"/>
      <c r="AE8" s="59"/>
      <c r="AF8" s="62"/>
      <c r="AG8" s="59"/>
      <c r="AH8" s="63"/>
      <c r="AI8" s="58"/>
      <c r="AJ8" s="58"/>
      <c r="AK8" s="61"/>
      <c r="AL8" s="61"/>
      <c r="AM8" s="61"/>
      <c r="AN8" s="61"/>
      <c r="AO8" s="61"/>
      <c r="AP8" s="385"/>
      <c r="AQ8" s="57"/>
      <c r="AR8" s="58"/>
      <c r="AS8" s="58"/>
      <c r="AT8" s="58"/>
      <c r="AU8" s="58"/>
      <c r="AV8" s="64"/>
      <c r="AW8" s="65"/>
      <c r="AX8" s="58"/>
      <c r="AY8" s="58"/>
      <c r="AZ8" s="58"/>
      <c r="BA8" s="66"/>
      <c r="BB8" s="386"/>
      <c r="BC8" s="67"/>
      <c r="BD8" s="68"/>
      <c r="BE8" s="66"/>
      <c r="BF8" s="66"/>
      <c r="BG8" s="66"/>
      <c r="BH8" s="69"/>
      <c r="BI8" s="57"/>
      <c r="BJ8" s="58"/>
      <c r="BK8" s="58"/>
      <c r="BL8" s="58"/>
      <c r="BM8" s="68"/>
      <c r="BN8" s="66"/>
      <c r="BO8" s="66"/>
      <c r="BP8" s="66"/>
      <c r="BQ8" s="69"/>
      <c r="BR8" s="57" t="s">
        <v>177</v>
      </c>
      <c r="BS8" s="58"/>
      <c r="BT8" s="58"/>
      <c r="BU8" s="66"/>
      <c r="BV8" s="66"/>
      <c r="BW8" s="70"/>
      <c r="BX8" s="70"/>
      <c r="BY8" s="70"/>
      <c r="BZ8" s="71"/>
      <c r="CA8" s="63"/>
      <c r="CB8" s="67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387"/>
      <c r="CO8" s="72"/>
      <c r="CP8" s="73"/>
      <c r="CQ8" s="68"/>
      <c r="CR8" s="68"/>
      <c r="CS8" s="68"/>
      <c r="CT8" s="74"/>
      <c r="CU8" s="75"/>
      <c r="CV8" s="76"/>
      <c r="CW8" s="73"/>
      <c r="CX8" s="68"/>
      <c r="CY8" s="68"/>
      <c r="CZ8" s="68"/>
      <c r="DA8" s="68"/>
      <c r="DB8" s="68"/>
      <c r="DC8" s="387"/>
    </row>
    <row r="9" spans="1:107" ht="35.25" customHeight="1">
      <c r="A9" s="325"/>
      <c r="B9" s="388"/>
      <c r="C9" s="77" t="s">
        <v>178</v>
      </c>
      <c r="D9" s="389" t="s">
        <v>179</v>
      </c>
      <c r="E9" s="78">
        <v>8</v>
      </c>
      <c r="F9" s="79">
        <f t="shared" si="3"/>
        <v>9</v>
      </c>
      <c r="G9" s="80">
        <f t="shared" si="4"/>
        <v>7</v>
      </c>
      <c r="H9" s="80">
        <f t="shared" si="5"/>
        <v>2</v>
      </c>
      <c r="I9" s="81">
        <f t="shared" si="6"/>
        <v>0</v>
      </c>
      <c r="J9" s="1"/>
      <c r="K9" s="1"/>
      <c r="L9" s="82" t="s">
        <v>177</v>
      </c>
      <c r="M9" s="83" t="s">
        <v>177</v>
      </c>
      <c r="N9" s="83" t="s">
        <v>177</v>
      </c>
      <c r="O9" s="84"/>
      <c r="P9" s="85"/>
      <c r="Q9" s="86"/>
      <c r="R9" s="390"/>
      <c r="S9" s="82"/>
      <c r="T9" s="86"/>
      <c r="U9" s="84"/>
      <c r="V9" s="82" t="s">
        <v>177</v>
      </c>
      <c r="W9" s="83" t="s">
        <v>177</v>
      </c>
      <c r="X9" s="83" t="s">
        <v>177</v>
      </c>
      <c r="Y9" s="83" t="s">
        <v>177</v>
      </c>
      <c r="Z9" s="84"/>
      <c r="AA9" s="82"/>
      <c r="AB9" s="86"/>
      <c r="AC9" s="84"/>
      <c r="AD9" s="82"/>
      <c r="AE9" s="84"/>
      <c r="AF9" s="391"/>
      <c r="AG9" s="84"/>
      <c r="AH9" s="63"/>
      <c r="AI9" s="83"/>
      <c r="AJ9" s="83"/>
      <c r="AK9" s="86"/>
      <c r="AL9" s="86"/>
      <c r="AM9" s="86"/>
      <c r="AN9" s="86"/>
      <c r="AO9" s="86"/>
      <c r="AP9" s="390"/>
      <c r="AQ9" s="82"/>
      <c r="AR9" s="83" t="s">
        <v>177</v>
      </c>
      <c r="AS9" s="83"/>
      <c r="AT9" s="83"/>
      <c r="AU9" s="83"/>
      <c r="AV9" s="87"/>
      <c r="AW9" s="392"/>
      <c r="AX9" s="83"/>
      <c r="AY9" s="83"/>
      <c r="AZ9" s="83"/>
      <c r="BA9" s="88"/>
      <c r="BB9" s="393"/>
      <c r="BC9" s="89"/>
      <c r="BD9" s="90"/>
      <c r="BE9" s="88"/>
      <c r="BF9" s="88"/>
      <c r="BG9" s="88"/>
      <c r="BH9" s="91"/>
      <c r="BI9" s="82"/>
      <c r="BJ9" s="83"/>
      <c r="BK9" s="83"/>
      <c r="BL9" s="83"/>
      <c r="BM9" s="90"/>
      <c r="BN9" s="88"/>
      <c r="BO9" s="88"/>
      <c r="BP9" s="88"/>
      <c r="BQ9" s="91"/>
      <c r="BR9" s="82" t="s">
        <v>177</v>
      </c>
      <c r="BS9" s="83"/>
      <c r="BT9" s="83"/>
      <c r="BU9" s="88"/>
      <c r="BV9" s="88"/>
      <c r="BW9" s="92"/>
      <c r="BX9" s="92"/>
      <c r="BY9" s="92"/>
      <c r="BZ9" s="93"/>
      <c r="CA9" s="63"/>
      <c r="CB9" s="89"/>
      <c r="CC9" s="90"/>
      <c r="CD9" s="90"/>
      <c r="CE9" s="90"/>
      <c r="CF9" s="90"/>
      <c r="CG9" s="90"/>
      <c r="CH9" s="90"/>
      <c r="CI9" s="90"/>
      <c r="CJ9" s="90"/>
      <c r="CK9" s="90"/>
      <c r="CL9" s="90"/>
      <c r="CM9" s="90"/>
      <c r="CN9" s="394"/>
      <c r="CO9" s="94"/>
      <c r="CP9" s="395"/>
      <c r="CQ9" s="90"/>
      <c r="CR9" s="90"/>
      <c r="CS9" s="90"/>
      <c r="CT9" s="394"/>
      <c r="CU9" s="90"/>
      <c r="CV9" s="90"/>
      <c r="CW9" s="90"/>
      <c r="CX9" s="90"/>
      <c r="CY9" s="90"/>
      <c r="CZ9" s="90"/>
      <c r="DA9" s="90"/>
      <c r="DB9" s="90"/>
      <c r="DC9" s="394"/>
    </row>
    <row r="10" spans="1:107" ht="35.25" customHeight="1">
      <c r="A10" s="325"/>
      <c r="B10" s="388"/>
      <c r="C10" s="77" t="s">
        <v>180</v>
      </c>
      <c r="D10" s="389" t="s">
        <v>181</v>
      </c>
      <c r="E10" s="78">
        <v>4</v>
      </c>
      <c r="F10" s="79">
        <f t="shared" si="3"/>
        <v>8</v>
      </c>
      <c r="G10" s="80">
        <f t="shared" si="4"/>
        <v>7</v>
      </c>
      <c r="H10" s="80">
        <f t="shared" si="5"/>
        <v>1</v>
      </c>
      <c r="I10" s="95">
        <f t="shared" si="6"/>
        <v>0</v>
      </c>
      <c r="J10" s="1"/>
      <c r="K10" s="1"/>
      <c r="L10" s="82"/>
      <c r="M10" s="83"/>
      <c r="N10" s="83" t="s">
        <v>177</v>
      </c>
      <c r="O10" s="84"/>
      <c r="P10" s="82" t="s">
        <v>177</v>
      </c>
      <c r="Q10" s="83"/>
      <c r="R10" s="396"/>
      <c r="S10" s="82"/>
      <c r="T10" s="83"/>
      <c r="U10" s="87"/>
      <c r="V10" s="82" t="s">
        <v>177</v>
      </c>
      <c r="W10" s="83" t="s">
        <v>177</v>
      </c>
      <c r="X10" s="83" t="s">
        <v>177</v>
      </c>
      <c r="Y10" s="83" t="s">
        <v>177</v>
      </c>
      <c r="Z10" s="84"/>
      <c r="AA10" s="85"/>
      <c r="AB10" s="86"/>
      <c r="AC10" s="84"/>
      <c r="AD10" s="82" t="s">
        <v>177</v>
      </c>
      <c r="AE10" s="84"/>
      <c r="AF10" s="391"/>
      <c r="AG10" s="84"/>
      <c r="AH10" s="63"/>
      <c r="AI10" s="83"/>
      <c r="AJ10" s="83"/>
      <c r="AK10" s="86"/>
      <c r="AL10" s="86"/>
      <c r="AM10" s="86"/>
      <c r="AN10" s="86"/>
      <c r="AO10" s="86"/>
      <c r="AP10" s="390"/>
      <c r="AQ10" s="82"/>
      <c r="AR10" s="83" t="s">
        <v>177</v>
      </c>
      <c r="AS10" s="83"/>
      <c r="AT10" s="83"/>
      <c r="AU10" s="83"/>
      <c r="AV10" s="87"/>
      <c r="AW10" s="392"/>
      <c r="AX10" s="83"/>
      <c r="AY10" s="83"/>
      <c r="AZ10" s="83"/>
      <c r="BA10" s="88"/>
      <c r="BB10" s="393"/>
      <c r="BC10" s="89"/>
      <c r="BD10" s="90"/>
      <c r="BE10" s="88"/>
      <c r="BF10" s="88"/>
      <c r="BG10" s="88"/>
      <c r="BH10" s="91"/>
      <c r="BI10" s="89"/>
      <c r="BJ10" s="90"/>
      <c r="BK10" s="90"/>
      <c r="BL10" s="90"/>
      <c r="BM10" s="90"/>
      <c r="BN10" s="88"/>
      <c r="BO10" s="88"/>
      <c r="BP10" s="88"/>
      <c r="BQ10" s="91"/>
      <c r="BR10" s="82"/>
      <c r="BS10" s="83"/>
      <c r="BT10" s="83"/>
      <c r="BU10" s="88"/>
      <c r="BV10" s="88"/>
      <c r="BW10" s="92"/>
      <c r="BX10" s="92"/>
      <c r="BY10" s="92"/>
      <c r="BZ10" s="93"/>
      <c r="CA10" s="63"/>
      <c r="CB10" s="89"/>
      <c r="CC10" s="90"/>
      <c r="CD10" s="90"/>
      <c r="CE10" s="90"/>
      <c r="CF10" s="90"/>
      <c r="CG10" s="90"/>
      <c r="CH10" s="90"/>
      <c r="CI10" s="90"/>
      <c r="CJ10" s="90"/>
      <c r="CK10" s="90"/>
      <c r="CL10" s="90"/>
      <c r="CM10" s="90"/>
      <c r="CN10" s="394"/>
      <c r="CO10" s="94"/>
      <c r="CP10" s="395"/>
      <c r="CQ10" s="90"/>
      <c r="CR10" s="90"/>
      <c r="CS10" s="90"/>
      <c r="CT10" s="394"/>
      <c r="CU10" s="90"/>
      <c r="CV10" s="90"/>
      <c r="CW10" s="90"/>
      <c r="CX10" s="90"/>
      <c r="CY10" s="90"/>
      <c r="CZ10" s="90"/>
      <c r="DA10" s="90"/>
      <c r="DB10" s="90"/>
      <c r="DC10" s="394"/>
    </row>
    <row r="11" spans="1:107" ht="35.25" customHeight="1">
      <c r="A11" s="325"/>
      <c r="B11" s="388"/>
      <c r="C11" s="77" t="s">
        <v>182</v>
      </c>
      <c r="D11" s="389" t="s">
        <v>183</v>
      </c>
      <c r="E11" s="78">
        <v>6</v>
      </c>
      <c r="F11" s="79">
        <f t="shared" si="3"/>
        <v>13</v>
      </c>
      <c r="G11" s="80">
        <f t="shared" si="4"/>
        <v>5</v>
      </c>
      <c r="H11" s="80">
        <f t="shared" si="5"/>
        <v>2</v>
      </c>
      <c r="I11" s="95">
        <f t="shared" si="6"/>
        <v>6</v>
      </c>
      <c r="J11" s="1"/>
      <c r="K11" s="1"/>
      <c r="L11" s="82"/>
      <c r="M11" s="86"/>
      <c r="N11" s="86"/>
      <c r="O11" s="84"/>
      <c r="P11" s="85"/>
      <c r="Q11" s="86"/>
      <c r="R11" s="390"/>
      <c r="S11" s="82" t="s">
        <v>177</v>
      </c>
      <c r="T11" s="83" t="s">
        <v>177</v>
      </c>
      <c r="U11" s="84"/>
      <c r="V11" s="85"/>
      <c r="W11" s="86"/>
      <c r="X11" s="86"/>
      <c r="Y11" s="86"/>
      <c r="Z11" s="84"/>
      <c r="AA11" s="82" t="s">
        <v>177</v>
      </c>
      <c r="AB11" s="83" t="s">
        <v>177</v>
      </c>
      <c r="AC11" s="84"/>
      <c r="AD11" s="82" t="s">
        <v>177</v>
      </c>
      <c r="AE11" s="84"/>
      <c r="AF11" s="391"/>
      <c r="AG11" s="84"/>
      <c r="AH11" s="63"/>
      <c r="AI11" s="83"/>
      <c r="AJ11" s="83"/>
      <c r="AK11" s="86"/>
      <c r="AL11" s="86"/>
      <c r="AM11" s="86"/>
      <c r="AN11" s="86"/>
      <c r="AO11" s="86"/>
      <c r="AP11" s="390"/>
      <c r="AQ11" s="82" t="s">
        <v>177</v>
      </c>
      <c r="AR11" s="83"/>
      <c r="AS11" s="83"/>
      <c r="AT11" s="83"/>
      <c r="AU11" s="83"/>
      <c r="AV11" s="87"/>
      <c r="AW11" s="392"/>
      <c r="AX11" s="83"/>
      <c r="AY11" s="83"/>
      <c r="AZ11" s="83"/>
      <c r="BA11" s="88"/>
      <c r="BB11" s="393"/>
      <c r="BC11" s="89"/>
      <c r="BD11" s="90"/>
      <c r="BE11" s="88"/>
      <c r="BF11" s="88"/>
      <c r="BG11" s="88"/>
      <c r="BH11" s="91"/>
      <c r="BI11" s="89"/>
      <c r="BJ11" s="90"/>
      <c r="BK11" s="90"/>
      <c r="BL11" s="90"/>
      <c r="BM11" s="90"/>
      <c r="BN11" s="88"/>
      <c r="BO11" s="88"/>
      <c r="BP11" s="88"/>
      <c r="BQ11" s="91"/>
      <c r="BR11" s="89" t="s">
        <v>177</v>
      </c>
      <c r="BS11" s="90"/>
      <c r="BT11" s="90"/>
      <c r="BU11" s="88"/>
      <c r="BV11" s="88"/>
      <c r="BW11" s="92"/>
      <c r="BX11" s="92"/>
      <c r="BY11" s="92"/>
      <c r="BZ11" s="93"/>
      <c r="CA11" s="63"/>
      <c r="CB11" s="89"/>
      <c r="CC11" s="83" t="s">
        <v>177</v>
      </c>
      <c r="CD11" s="83" t="s">
        <v>177</v>
      </c>
      <c r="CE11" s="83" t="s">
        <v>177</v>
      </c>
      <c r="CF11" s="90"/>
      <c r="CG11" s="90"/>
      <c r="CH11" s="90"/>
      <c r="CI11" s="90"/>
      <c r="CJ11" s="90"/>
      <c r="CK11" s="90"/>
      <c r="CL11" s="90"/>
      <c r="CM11" s="90"/>
      <c r="CN11" s="394"/>
      <c r="CO11" s="94"/>
      <c r="CP11" s="392" t="s">
        <v>177</v>
      </c>
      <c r="CQ11" s="83"/>
      <c r="CR11" s="83" t="s">
        <v>177</v>
      </c>
      <c r="CS11" s="83" t="s">
        <v>177</v>
      </c>
      <c r="CT11" s="394"/>
      <c r="CU11" s="90"/>
      <c r="CV11" s="90"/>
      <c r="CW11" s="90"/>
      <c r="CX11" s="90"/>
      <c r="CY11" s="90"/>
      <c r="CZ11" s="90"/>
      <c r="DA11" s="90"/>
      <c r="DB11" s="90"/>
      <c r="DC11" s="394"/>
    </row>
    <row r="12" spans="1:107" ht="35.25" customHeight="1">
      <c r="A12" s="325"/>
      <c r="B12" s="388"/>
      <c r="C12" s="397" t="s">
        <v>184</v>
      </c>
      <c r="D12" s="398" t="s">
        <v>185</v>
      </c>
      <c r="E12" s="399">
        <v>4</v>
      </c>
      <c r="F12" s="96">
        <f t="shared" si="3"/>
        <v>9</v>
      </c>
      <c r="G12" s="97">
        <f t="shared" si="4"/>
        <v>0</v>
      </c>
      <c r="H12" s="97">
        <f t="shared" si="5"/>
        <v>9</v>
      </c>
      <c r="I12" s="98">
        <f t="shared" si="6"/>
        <v>0</v>
      </c>
      <c r="J12" s="1"/>
      <c r="K12" s="1"/>
      <c r="L12" s="99"/>
      <c r="M12" s="100"/>
      <c r="N12" s="100"/>
      <c r="O12" s="101"/>
      <c r="P12" s="102"/>
      <c r="Q12" s="100"/>
      <c r="R12" s="103"/>
      <c r="S12" s="99"/>
      <c r="T12" s="100"/>
      <c r="U12" s="101"/>
      <c r="V12" s="102"/>
      <c r="W12" s="100"/>
      <c r="X12" s="100"/>
      <c r="Y12" s="100"/>
      <c r="Z12" s="101"/>
      <c r="AA12" s="102"/>
      <c r="AB12" s="100"/>
      <c r="AC12" s="101"/>
      <c r="AD12" s="102"/>
      <c r="AE12" s="101"/>
      <c r="AF12" s="400"/>
      <c r="AG12" s="101"/>
      <c r="AH12" s="63"/>
      <c r="AI12" s="104" t="s">
        <v>177</v>
      </c>
      <c r="AJ12" s="104"/>
      <c r="AK12" s="100"/>
      <c r="AL12" s="100"/>
      <c r="AM12" s="100"/>
      <c r="AN12" s="100"/>
      <c r="AO12" s="100"/>
      <c r="AP12" s="103"/>
      <c r="AQ12" s="105" t="s">
        <v>177</v>
      </c>
      <c r="AR12" s="401"/>
      <c r="AS12" s="401"/>
      <c r="AT12" s="401"/>
      <c r="AU12" s="401"/>
      <c r="AV12" s="106"/>
      <c r="AW12" s="402"/>
      <c r="AX12" s="401" t="s">
        <v>177</v>
      </c>
      <c r="AY12" s="401"/>
      <c r="AZ12" s="401"/>
      <c r="BA12" s="403"/>
      <c r="BB12" s="107"/>
      <c r="BC12" s="108"/>
      <c r="BD12" s="404"/>
      <c r="BE12" s="403"/>
      <c r="BF12" s="403"/>
      <c r="BG12" s="403"/>
      <c r="BH12" s="109"/>
      <c r="BI12" s="110" t="s">
        <v>177</v>
      </c>
      <c r="BJ12" s="111" t="s">
        <v>177</v>
      </c>
      <c r="BK12" s="111" t="s">
        <v>177</v>
      </c>
      <c r="BL12" s="111" t="s">
        <v>177</v>
      </c>
      <c r="BM12" s="111" t="s">
        <v>177</v>
      </c>
      <c r="BN12" s="112"/>
      <c r="BO12" s="112"/>
      <c r="BP12" s="112"/>
      <c r="BQ12" s="113"/>
      <c r="BR12" s="110"/>
      <c r="BS12" s="111" t="s">
        <v>177</v>
      </c>
      <c r="BT12" s="111"/>
      <c r="BU12" s="112"/>
      <c r="BV12" s="112"/>
      <c r="BW12" s="114"/>
      <c r="BX12" s="114"/>
      <c r="BY12" s="114"/>
      <c r="BZ12" s="115"/>
      <c r="CA12" s="63"/>
      <c r="CB12" s="110"/>
      <c r="CC12" s="111"/>
      <c r="CD12" s="111"/>
      <c r="CE12" s="111"/>
      <c r="CF12" s="111"/>
      <c r="CG12" s="111"/>
      <c r="CH12" s="111"/>
      <c r="CI12" s="111"/>
      <c r="CJ12" s="111"/>
      <c r="CK12" s="111"/>
      <c r="CL12" s="111"/>
      <c r="CM12" s="111"/>
      <c r="CN12" s="116"/>
      <c r="CO12" s="117"/>
      <c r="CP12" s="405"/>
      <c r="CQ12" s="404"/>
      <c r="CR12" s="404"/>
      <c r="CS12" s="404"/>
      <c r="CT12" s="118"/>
      <c r="CU12" s="404"/>
      <c r="CV12" s="404"/>
      <c r="CW12" s="404"/>
      <c r="CX12" s="404"/>
      <c r="CY12" s="404"/>
      <c r="CZ12" s="404"/>
      <c r="DA12" s="404"/>
      <c r="DB12" s="404"/>
      <c r="DC12" s="118"/>
    </row>
    <row r="13" spans="1:107" ht="35.25" customHeight="1">
      <c r="A13" s="325"/>
      <c r="B13" s="384">
        <v>2</v>
      </c>
      <c r="C13" s="51" t="s">
        <v>186</v>
      </c>
      <c r="D13" s="52" t="s">
        <v>187</v>
      </c>
      <c r="E13" s="53">
        <v>8</v>
      </c>
      <c r="F13" s="54">
        <f t="shared" si="3"/>
        <v>9</v>
      </c>
      <c r="G13" s="55">
        <f t="shared" si="4"/>
        <v>7</v>
      </c>
      <c r="H13" s="55">
        <f t="shared" si="5"/>
        <v>2</v>
      </c>
      <c r="I13" s="56">
        <f t="shared" si="6"/>
        <v>0</v>
      </c>
      <c r="J13" s="1"/>
      <c r="K13" s="1"/>
      <c r="L13" s="57" t="s">
        <v>177</v>
      </c>
      <c r="M13" s="58" t="s">
        <v>177</v>
      </c>
      <c r="N13" s="58" t="s">
        <v>177</v>
      </c>
      <c r="O13" s="59"/>
      <c r="P13" s="62"/>
      <c r="Q13" s="61"/>
      <c r="R13" s="385"/>
      <c r="S13" s="119"/>
      <c r="T13" s="120"/>
      <c r="U13" s="121"/>
      <c r="V13" s="57" t="s">
        <v>177</v>
      </c>
      <c r="W13" s="58" t="s">
        <v>177</v>
      </c>
      <c r="X13" s="58" t="s">
        <v>177</v>
      </c>
      <c r="Y13" s="58" t="s">
        <v>177</v>
      </c>
      <c r="Z13" s="59"/>
      <c r="AA13" s="122"/>
      <c r="AB13" s="123"/>
      <c r="AC13" s="124"/>
      <c r="AD13" s="125"/>
      <c r="AE13" s="121"/>
      <c r="AF13" s="126"/>
      <c r="AG13" s="121"/>
      <c r="AH13" s="63"/>
      <c r="AI13" s="123"/>
      <c r="AJ13" s="123"/>
      <c r="AK13" s="120"/>
      <c r="AL13" s="120"/>
      <c r="AM13" s="120"/>
      <c r="AN13" s="120"/>
      <c r="AO13" s="120"/>
      <c r="AP13" s="124"/>
      <c r="AQ13" s="57"/>
      <c r="AR13" s="58" t="s">
        <v>177</v>
      </c>
      <c r="AS13" s="58"/>
      <c r="AT13" s="58"/>
      <c r="AU13" s="58"/>
      <c r="AV13" s="64"/>
      <c r="AW13" s="65"/>
      <c r="AX13" s="58"/>
      <c r="AY13" s="58"/>
      <c r="AZ13" s="58"/>
      <c r="BA13" s="66"/>
      <c r="BB13" s="386"/>
      <c r="BC13" s="67"/>
      <c r="BD13" s="68"/>
      <c r="BE13" s="66"/>
      <c r="BF13" s="66"/>
      <c r="BG13" s="66"/>
      <c r="BH13" s="69"/>
      <c r="BI13" s="73"/>
      <c r="BJ13" s="68"/>
      <c r="BK13" s="68"/>
      <c r="BL13" s="68"/>
      <c r="BM13" s="68"/>
      <c r="BN13" s="66"/>
      <c r="BO13" s="66"/>
      <c r="BP13" s="66"/>
      <c r="BQ13" s="69"/>
      <c r="BR13" s="75" t="s">
        <v>177</v>
      </c>
      <c r="BS13" s="76"/>
      <c r="BT13" s="76"/>
      <c r="BU13" s="127"/>
      <c r="BV13" s="127"/>
      <c r="BW13" s="128"/>
      <c r="BX13" s="128"/>
      <c r="BY13" s="128"/>
      <c r="BZ13" s="129"/>
      <c r="CA13" s="63"/>
      <c r="CB13" s="67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387"/>
      <c r="CO13" s="387"/>
      <c r="CP13" s="67"/>
      <c r="CQ13" s="68"/>
      <c r="CR13" s="68"/>
      <c r="CS13" s="68"/>
      <c r="CT13" s="387"/>
      <c r="CU13" s="68"/>
      <c r="CV13" s="68"/>
      <c r="CW13" s="68"/>
      <c r="CX13" s="68"/>
      <c r="CY13" s="68"/>
      <c r="CZ13" s="68"/>
      <c r="DA13" s="68"/>
      <c r="DB13" s="68"/>
      <c r="DC13" s="387"/>
    </row>
    <row r="14" spans="1:107" ht="35.25" customHeight="1">
      <c r="A14" s="325"/>
      <c r="B14" s="388"/>
      <c r="C14" s="77" t="s">
        <v>188</v>
      </c>
      <c r="D14" s="389" t="s">
        <v>189</v>
      </c>
      <c r="E14" s="78">
        <v>6</v>
      </c>
      <c r="F14" s="79">
        <f t="shared" si="3"/>
        <v>9</v>
      </c>
      <c r="G14" s="80">
        <f t="shared" si="4"/>
        <v>7</v>
      </c>
      <c r="H14" s="80">
        <f t="shared" si="5"/>
        <v>2</v>
      </c>
      <c r="I14" s="81">
        <f t="shared" si="6"/>
        <v>0</v>
      </c>
      <c r="J14" s="1"/>
      <c r="K14" s="1"/>
      <c r="L14" s="82" t="s">
        <v>177</v>
      </c>
      <c r="M14" s="83" t="s">
        <v>177</v>
      </c>
      <c r="N14" s="83" t="s">
        <v>177</v>
      </c>
      <c r="O14" s="84"/>
      <c r="P14" s="391"/>
      <c r="Q14" s="86"/>
      <c r="R14" s="390"/>
      <c r="S14" s="82"/>
      <c r="T14" s="86"/>
      <c r="U14" s="84"/>
      <c r="V14" s="82" t="s">
        <v>177</v>
      </c>
      <c r="W14" s="83" t="s">
        <v>177</v>
      </c>
      <c r="X14" s="83" t="s">
        <v>177</v>
      </c>
      <c r="Y14" s="83" t="s">
        <v>177</v>
      </c>
      <c r="Z14" s="84"/>
      <c r="AA14" s="392"/>
      <c r="AB14" s="83"/>
      <c r="AC14" s="390"/>
      <c r="AD14" s="85"/>
      <c r="AE14" s="84"/>
      <c r="AF14" s="391"/>
      <c r="AG14" s="84"/>
      <c r="AH14" s="63"/>
      <c r="AI14" s="83"/>
      <c r="AJ14" s="83"/>
      <c r="AK14" s="86"/>
      <c r="AL14" s="86"/>
      <c r="AM14" s="86"/>
      <c r="AN14" s="86"/>
      <c r="AO14" s="86"/>
      <c r="AP14" s="390"/>
      <c r="AQ14" s="82"/>
      <c r="AR14" s="83" t="s">
        <v>177</v>
      </c>
      <c r="AS14" s="83"/>
      <c r="AT14" s="83"/>
      <c r="AU14" s="83"/>
      <c r="AV14" s="87"/>
      <c r="AW14" s="392"/>
      <c r="AX14" s="83"/>
      <c r="AY14" s="83"/>
      <c r="AZ14" s="83"/>
      <c r="BA14" s="88"/>
      <c r="BB14" s="393"/>
      <c r="BC14" s="89"/>
      <c r="BD14" s="90"/>
      <c r="BE14" s="88"/>
      <c r="BF14" s="88"/>
      <c r="BG14" s="88"/>
      <c r="BH14" s="91"/>
      <c r="BI14" s="395"/>
      <c r="BJ14" s="90"/>
      <c r="BK14" s="90"/>
      <c r="BL14" s="90"/>
      <c r="BM14" s="90"/>
      <c r="BN14" s="88"/>
      <c r="BO14" s="88"/>
      <c r="BP14" s="88"/>
      <c r="BQ14" s="91"/>
      <c r="BR14" s="395" t="s">
        <v>177</v>
      </c>
      <c r="BS14" s="90"/>
      <c r="BT14" s="90"/>
      <c r="BU14" s="88"/>
      <c r="BV14" s="88"/>
      <c r="BW14" s="92"/>
      <c r="BX14" s="92"/>
      <c r="BY14" s="92"/>
      <c r="BZ14" s="93"/>
      <c r="CA14" s="63"/>
      <c r="CB14" s="89"/>
      <c r="CC14" s="90"/>
      <c r="CD14" s="90"/>
      <c r="CE14" s="90"/>
      <c r="CF14" s="90"/>
      <c r="CG14" s="90"/>
      <c r="CH14" s="90"/>
      <c r="CI14" s="90"/>
      <c r="CJ14" s="90"/>
      <c r="CK14" s="90"/>
      <c r="CL14" s="90"/>
      <c r="CM14" s="90"/>
      <c r="CN14" s="394"/>
      <c r="CO14" s="394"/>
      <c r="CP14" s="89"/>
      <c r="CQ14" s="90"/>
      <c r="CR14" s="90"/>
      <c r="CS14" s="90"/>
      <c r="CT14" s="394"/>
      <c r="CU14" s="90"/>
      <c r="CV14" s="90"/>
      <c r="CW14" s="90"/>
      <c r="CX14" s="90"/>
      <c r="CY14" s="90"/>
      <c r="CZ14" s="90"/>
      <c r="DA14" s="90"/>
      <c r="DB14" s="90"/>
      <c r="DC14" s="394"/>
    </row>
    <row r="15" spans="1:107" ht="35.25" customHeight="1">
      <c r="A15" s="325"/>
      <c r="B15" s="388"/>
      <c r="C15" s="77" t="s">
        <v>190</v>
      </c>
      <c r="D15" s="389" t="s">
        <v>191</v>
      </c>
      <c r="E15" s="78">
        <v>6</v>
      </c>
      <c r="F15" s="79">
        <f t="shared" si="3"/>
        <v>8</v>
      </c>
      <c r="G15" s="80">
        <f t="shared" si="4"/>
        <v>7</v>
      </c>
      <c r="H15" s="80">
        <f t="shared" si="5"/>
        <v>1</v>
      </c>
      <c r="I15" s="81">
        <f t="shared" si="6"/>
        <v>0</v>
      </c>
      <c r="J15" s="1"/>
      <c r="K15" s="1"/>
      <c r="L15" s="82" t="s">
        <v>177</v>
      </c>
      <c r="M15" s="83" t="s">
        <v>177</v>
      </c>
      <c r="N15" s="83" t="s">
        <v>177</v>
      </c>
      <c r="O15" s="87"/>
      <c r="P15" s="392"/>
      <c r="Q15" s="83"/>
      <c r="R15" s="396"/>
      <c r="S15" s="82"/>
      <c r="T15" s="83"/>
      <c r="U15" s="84"/>
      <c r="V15" s="82" t="s">
        <v>177</v>
      </c>
      <c r="W15" s="83" t="s">
        <v>177</v>
      </c>
      <c r="X15" s="83" t="s">
        <v>177</v>
      </c>
      <c r="Y15" s="83" t="s">
        <v>177</v>
      </c>
      <c r="Z15" s="84"/>
      <c r="AA15" s="392"/>
      <c r="AB15" s="83"/>
      <c r="AC15" s="390"/>
      <c r="AD15" s="82"/>
      <c r="AE15" s="84"/>
      <c r="AF15" s="402"/>
      <c r="AG15" s="46"/>
      <c r="AH15" s="63"/>
      <c r="AI15" s="83"/>
      <c r="AJ15" s="83"/>
      <c r="AK15" s="86"/>
      <c r="AL15" s="86"/>
      <c r="AM15" s="86"/>
      <c r="AN15" s="86"/>
      <c r="AO15" s="86"/>
      <c r="AP15" s="390"/>
      <c r="AQ15" s="82"/>
      <c r="AR15" s="83"/>
      <c r="AS15" s="83"/>
      <c r="AT15" s="83"/>
      <c r="AU15" s="83"/>
      <c r="AV15" s="87"/>
      <c r="AW15" s="392"/>
      <c r="AX15" s="83"/>
      <c r="AY15" s="83"/>
      <c r="AZ15" s="83"/>
      <c r="BA15" s="88"/>
      <c r="BB15" s="393"/>
      <c r="BC15" s="89"/>
      <c r="BD15" s="90"/>
      <c r="BE15" s="88"/>
      <c r="BF15" s="88"/>
      <c r="BG15" s="88"/>
      <c r="BH15" s="91"/>
      <c r="BI15" s="405"/>
      <c r="BJ15" s="404"/>
      <c r="BK15" s="404"/>
      <c r="BL15" s="404"/>
      <c r="BM15" s="404"/>
      <c r="BN15" s="403"/>
      <c r="BO15" s="403"/>
      <c r="BP15" s="403"/>
      <c r="BQ15" s="91"/>
      <c r="BR15" s="395" t="s">
        <v>177</v>
      </c>
      <c r="BS15" s="90"/>
      <c r="BT15" s="90"/>
      <c r="BU15" s="88"/>
      <c r="BV15" s="88"/>
      <c r="BW15" s="92"/>
      <c r="BX15" s="92"/>
      <c r="BY15" s="92"/>
      <c r="BZ15" s="93"/>
      <c r="CA15" s="63"/>
      <c r="CB15" s="89"/>
      <c r="CC15" s="90"/>
      <c r="CD15" s="90"/>
      <c r="CE15" s="90"/>
      <c r="CF15" s="90"/>
      <c r="CG15" s="90"/>
      <c r="CH15" s="90"/>
      <c r="CI15" s="90"/>
      <c r="CJ15" s="90"/>
      <c r="CK15" s="90"/>
      <c r="CL15" s="90"/>
      <c r="CM15" s="90"/>
      <c r="CN15" s="394"/>
      <c r="CO15" s="394"/>
      <c r="CP15" s="89"/>
      <c r="CQ15" s="90"/>
      <c r="CR15" s="90"/>
      <c r="CS15" s="90"/>
      <c r="CT15" s="394"/>
      <c r="CU15" s="90"/>
      <c r="CV15" s="90"/>
      <c r="CW15" s="90"/>
      <c r="CX15" s="90"/>
      <c r="CY15" s="90"/>
      <c r="CZ15" s="90"/>
      <c r="DA15" s="90"/>
      <c r="DB15" s="90"/>
      <c r="DC15" s="394"/>
    </row>
    <row r="16" spans="1:107" ht="39.75" customHeight="1">
      <c r="A16" s="325"/>
      <c r="B16" s="388"/>
      <c r="C16" s="77" t="s">
        <v>192</v>
      </c>
      <c r="D16" s="389" t="s">
        <v>193</v>
      </c>
      <c r="E16" s="130">
        <v>6</v>
      </c>
      <c r="F16" s="79">
        <f t="shared" si="3"/>
        <v>8</v>
      </c>
      <c r="G16" s="80">
        <f t="shared" si="4"/>
        <v>6</v>
      </c>
      <c r="H16" s="80">
        <f t="shared" si="5"/>
        <v>1</v>
      </c>
      <c r="I16" s="95">
        <f t="shared" si="6"/>
        <v>1</v>
      </c>
      <c r="J16" s="1"/>
      <c r="K16" s="1"/>
      <c r="L16" s="82"/>
      <c r="M16" s="83"/>
      <c r="N16" s="83"/>
      <c r="O16" s="87"/>
      <c r="P16" s="392" t="s">
        <v>177</v>
      </c>
      <c r="Q16" s="83" t="s">
        <v>177</v>
      </c>
      <c r="R16" s="396"/>
      <c r="S16" s="82" t="s">
        <v>177</v>
      </c>
      <c r="T16" s="83" t="s">
        <v>177</v>
      </c>
      <c r="U16" s="84"/>
      <c r="V16" s="82"/>
      <c r="W16" s="83"/>
      <c r="X16" s="83"/>
      <c r="Y16" s="83"/>
      <c r="Z16" s="84"/>
      <c r="AA16" s="392" t="s">
        <v>177</v>
      </c>
      <c r="AB16" s="83" t="s">
        <v>177</v>
      </c>
      <c r="AC16" s="390"/>
      <c r="AD16" s="85"/>
      <c r="AE16" s="84"/>
      <c r="AF16" s="391"/>
      <c r="AG16" s="84"/>
      <c r="AH16" s="63"/>
      <c r="AI16" s="83"/>
      <c r="AJ16" s="83"/>
      <c r="AK16" s="86"/>
      <c r="AL16" s="86"/>
      <c r="AM16" s="86"/>
      <c r="AN16" s="86"/>
      <c r="AO16" s="86"/>
      <c r="AP16" s="390"/>
      <c r="AQ16" s="82"/>
      <c r="AR16" s="83"/>
      <c r="AS16" s="83"/>
      <c r="AT16" s="83"/>
      <c r="AU16" s="83"/>
      <c r="AV16" s="87"/>
      <c r="AW16" s="392"/>
      <c r="AX16" s="83"/>
      <c r="AY16" s="83"/>
      <c r="AZ16" s="83"/>
      <c r="BA16" s="88"/>
      <c r="BB16" s="393"/>
      <c r="BC16" s="89"/>
      <c r="BD16" s="90"/>
      <c r="BE16" s="88"/>
      <c r="BF16" s="88"/>
      <c r="BG16" s="88"/>
      <c r="BH16" s="91"/>
      <c r="BI16" s="395"/>
      <c r="BJ16" s="90"/>
      <c r="BK16" s="90"/>
      <c r="BL16" s="90"/>
      <c r="BM16" s="90"/>
      <c r="BN16" s="88"/>
      <c r="BO16" s="88"/>
      <c r="BP16" s="88"/>
      <c r="BQ16" s="91"/>
      <c r="BR16" s="395" t="s">
        <v>177</v>
      </c>
      <c r="BS16" s="90"/>
      <c r="BT16" s="90"/>
      <c r="BU16" s="88"/>
      <c r="BV16" s="88"/>
      <c r="BW16" s="92"/>
      <c r="BX16" s="92"/>
      <c r="BY16" s="92"/>
      <c r="BZ16" s="92"/>
      <c r="CA16" s="63"/>
      <c r="CB16" s="89"/>
      <c r="CC16" s="90"/>
      <c r="CD16" s="90"/>
      <c r="CE16" s="90"/>
      <c r="CF16" s="90"/>
      <c r="CG16" s="90"/>
      <c r="CH16" s="90"/>
      <c r="CI16" s="90"/>
      <c r="CJ16" s="90"/>
      <c r="CK16" s="90"/>
      <c r="CL16" s="90"/>
      <c r="CM16" s="90"/>
      <c r="CN16" s="394"/>
      <c r="CO16" s="394"/>
      <c r="CP16" s="105" t="s">
        <v>177</v>
      </c>
      <c r="CQ16" s="90"/>
      <c r="CR16" s="90"/>
      <c r="CS16" s="90"/>
      <c r="CT16" s="394"/>
      <c r="CU16" s="90"/>
      <c r="CV16" s="90"/>
      <c r="CW16" s="90"/>
      <c r="CX16" s="90"/>
      <c r="CY16" s="90"/>
      <c r="CZ16" s="90"/>
      <c r="DA16" s="90"/>
      <c r="DB16" s="90"/>
      <c r="DC16" s="394"/>
    </row>
    <row r="17" spans="1:107" ht="39.75" customHeight="1">
      <c r="A17" s="325"/>
      <c r="B17" s="406"/>
      <c r="C17" s="131" t="s">
        <v>194</v>
      </c>
      <c r="D17" s="407" t="s">
        <v>195</v>
      </c>
      <c r="E17" s="399">
        <v>4</v>
      </c>
      <c r="F17" s="96">
        <f t="shared" si="3"/>
        <v>8</v>
      </c>
      <c r="G17" s="97">
        <f t="shared" si="4"/>
        <v>0</v>
      </c>
      <c r="H17" s="97">
        <f t="shared" si="5"/>
        <v>8</v>
      </c>
      <c r="I17" s="98">
        <f t="shared" si="6"/>
        <v>0</v>
      </c>
      <c r="J17" s="1"/>
      <c r="K17" s="1"/>
      <c r="L17" s="408"/>
      <c r="M17" s="409"/>
      <c r="N17" s="409"/>
      <c r="O17" s="410"/>
      <c r="P17" s="411"/>
      <c r="Q17" s="409"/>
      <c r="R17" s="412"/>
      <c r="S17" s="408"/>
      <c r="T17" s="409"/>
      <c r="U17" s="413"/>
      <c r="V17" s="414"/>
      <c r="W17" s="380"/>
      <c r="X17" s="380"/>
      <c r="Y17" s="380"/>
      <c r="Z17" s="413"/>
      <c r="AA17" s="411"/>
      <c r="AB17" s="409"/>
      <c r="AC17" s="415"/>
      <c r="AD17" s="414"/>
      <c r="AE17" s="413"/>
      <c r="AF17" s="416"/>
      <c r="AG17" s="413"/>
      <c r="AH17" s="63"/>
      <c r="AI17" s="409"/>
      <c r="AJ17" s="409"/>
      <c r="AK17" s="380"/>
      <c r="AL17" s="380"/>
      <c r="AM17" s="380"/>
      <c r="AN17" s="380"/>
      <c r="AO17" s="380"/>
      <c r="AP17" s="415"/>
      <c r="AQ17" s="99" t="s">
        <v>177</v>
      </c>
      <c r="AR17" s="104" t="s">
        <v>177</v>
      </c>
      <c r="AS17" s="104"/>
      <c r="AT17" s="104"/>
      <c r="AU17" s="104"/>
      <c r="AV17" s="132"/>
      <c r="AW17" s="417" t="s">
        <v>177</v>
      </c>
      <c r="AX17" s="104" t="s">
        <v>177</v>
      </c>
      <c r="AY17" s="104"/>
      <c r="AZ17" s="104"/>
      <c r="BA17" s="112"/>
      <c r="BB17" s="133"/>
      <c r="BC17" s="110"/>
      <c r="BD17" s="111"/>
      <c r="BE17" s="112"/>
      <c r="BF17" s="112"/>
      <c r="BG17" s="112"/>
      <c r="BH17" s="113"/>
      <c r="BI17" s="134"/>
      <c r="BJ17" s="135"/>
      <c r="BK17" s="135"/>
      <c r="BL17" s="136" t="s">
        <v>177</v>
      </c>
      <c r="BM17" s="136"/>
      <c r="BN17" s="137"/>
      <c r="BO17" s="137"/>
      <c r="BP17" s="137"/>
      <c r="BQ17" s="138"/>
      <c r="BR17" s="411" t="s">
        <v>177</v>
      </c>
      <c r="BS17" s="409" t="s">
        <v>177</v>
      </c>
      <c r="BT17" s="409" t="s">
        <v>177</v>
      </c>
      <c r="BU17" s="418"/>
      <c r="BV17" s="418"/>
      <c r="BW17" s="419"/>
      <c r="BX17" s="419"/>
      <c r="BY17" s="419"/>
      <c r="BZ17" s="420"/>
      <c r="CA17" s="63"/>
      <c r="CB17" s="139"/>
      <c r="CC17" s="135"/>
      <c r="CD17" s="135"/>
      <c r="CE17" s="135"/>
      <c r="CF17" s="135"/>
      <c r="CG17" s="135"/>
      <c r="CH17" s="135"/>
      <c r="CI17" s="135"/>
      <c r="CJ17" s="135"/>
      <c r="CK17" s="135"/>
      <c r="CL17" s="135"/>
      <c r="CM17" s="135"/>
      <c r="CN17" s="140"/>
      <c r="CO17" s="140"/>
      <c r="CP17" s="110"/>
      <c r="CQ17" s="135"/>
      <c r="CR17" s="135"/>
      <c r="CS17" s="135"/>
      <c r="CT17" s="116"/>
      <c r="CU17" s="134"/>
      <c r="CV17" s="111"/>
      <c r="CW17" s="134"/>
      <c r="CX17" s="135"/>
      <c r="CY17" s="135"/>
      <c r="CZ17" s="135"/>
      <c r="DA17" s="135"/>
      <c r="DB17" s="135"/>
      <c r="DC17" s="140"/>
    </row>
    <row r="18" spans="1:107" ht="39.75" customHeight="1">
      <c r="A18" s="325"/>
      <c r="B18" s="421">
        <v>3</v>
      </c>
      <c r="C18" s="51" t="s">
        <v>196</v>
      </c>
      <c r="D18" s="52" t="s">
        <v>197</v>
      </c>
      <c r="E18" s="53">
        <v>8</v>
      </c>
      <c r="F18" s="141">
        <f t="shared" si="3"/>
        <v>9</v>
      </c>
      <c r="G18" s="142">
        <f t="shared" si="4"/>
        <v>7</v>
      </c>
      <c r="H18" s="142">
        <f t="shared" si="5"/>
        <v>2</v>
      </c>
      <c r="I18" s="143">
        <f t="shared" si="6"/>
        <v>0</v>
      </c>
      <c r="J18" s="1"/>
      <c r="K18" s="1"/>
      <c r="L18" s="57" t="s">
        <v>177</v>
      </c>
      <c r="M18" s="58" t="s">
        <v>177</v>
      </c>
      <c r="N18" s="58" t="s">
        <v>177</v>
      </c>
      <c r="O18" s="422"/>
      <c r="P18" s="57"/>
      <c r="Q18" s="58"/>
      <c r="R18" s="64"/>
      <c r="S18" s="65"/>
      <c r="T18" s="58"/>
      <c r="U18" s="385"/>
      <c r="V18" s="57" t="s">
        <v>177</v>
      </c>
      <c r="W18" s="58" t="s">
        <v>177</v>
      </c>
      <c r="X18" s="58" t="s">
        <v>177</v>
      </c>
      <c r="Y18" s="58" t="s">
        <v>177</v>
      </c>
      <c r="Z18" s="144"/>
      <c r="AA18" s="57"/>
      <c r="AB18" s="58"/>
      <c r="AC18" s="59"/>
      <c r="AD18" s="62"/>
      <c r="AE18" s="385"/>
      <c r="AF18" s="60"/>
      <c r="AG18" s="59"/>
      <c r="AH18" s="63"/>
      <c r="AI18" s="58"/>
      <c r="AJ18" s="58"/>
      <c r="AK18" s="61"/>
      <c r="AL18" s="61"/>
      <c r="AM18" s="61"/>
      <c r="AN18" s="61"/>
      <c r="AO18" s="61"/>
      <c r="AP18" s="385"/>
      <c r="AQ18" s="119" t="s">
        <v>177</v>
      </c>
      <c r="AR18" s="123" t="s">
        <v>177</v>
      </c>
      <c r="AS18" s="123"/>
      <c r="AT18" s="123"/>
      <c r="AU18" s="123"/>
      <c r="AV18" s="145"/>
      <c r="AW18" s="122"/>
      <c r="AX18" s="123"/>
      <c r="AY18" s="123"/>
      <c r="AZ18" s="123"/>
      <c r="BA18" s="127"/>
      <c r="BB18" s="146"/>
      <c r="BC18" s="147"/>
      <c r="BD18" s="76"/>
      <c r="BE18" s="127"/>
      <c r="BF18" s="127"/>
      <c r="BG18" s="127"/>
      <c r="BH18" s="148"/>
      <c r="BI18" s="67"/>
      <c r="BJ18" s="68"/>
      <c r="BK18" s="68"/>
      <c r="BL18" s="68"/>
      <c r="BM18" s="72"/>
      <c r="BN18" s="66"/>
      <c r="BO18" s="66"/>
      <c r="BP18" s="66"/>
      <c r="BQ18" s="69"/>
      <c r="BR18" s="67"/>
      <c r="BS18" s="68"/>
      <c r="BT18" s="68"/>
      <c r="BU18" s="66"/>
      <c r="BV18" s="66"/>
      <c r="BW18" s="70"/>
      <c r="BX18" s="70"/>
      <c r="BY18" s="70"/>
      <c r="BZ18" s="71"/>
      <c r="CA18" s="63"/>
      <c r="CB18" s="67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387"/>
      <c r="CO18" s="72"/>
      <c r="CP18" s="75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4"/>
    </row>
    <row r="19" spans="1:107" ht="39.75" customHeight="1">
      <c r="A19" s="325"/>
      <c r="B19" s="423"/>
      <c r="C19" s="77" t="s">
        <v>198</v>
      </c>
      <c r="D19" s="389" t="s">
        <v>199</v>
      </c>
      <c r="E19" s="78">
        <v>7</v>
      </c>
      <c r="F19" s="79">
        <f t="shared" si="3"/>
        <v>7</v>
      </c>
      <c r="G19" s="80">
        <f t="shared" si="4"/>
        <v>1</v>
      </c>
      <c r="H19" s="80">
        <f t="shared" si="5"/>
        <v>4</v>
      </c>
      <c r="I19" s="81">
        <f t="shared" si="6"/>
        <v>2</v>
      </c>
      <c r="J19" s="1"/>
      <c r="K19" s="1"/>
      <c r="L19" s="82" t="s">
        <v>177</v>
      </c>
      <c r="M19" s="83"/>
      <c r="N19" s="83"/>
      <c r="O19" s="396"/>
      <c r="P19" s="82"/>
      <c r="Q19" s="83"/>
      <c r="R19" s="87"/>
      <c r="S19" s="392"/>
      <c r="T19" s="83"/>
      <c r="U19" s="390"/>
      <c r="V19" s="82"/>
      <c r="W19" s="83"/>
      <c r="X19" s="83"/>
      <c r="Y19" s="83"/>
      <c r="Z19" s="149"/>
      <c r="AA19" s="82"/>
      <c r="AB19" s="86"/>
      <c r="AC19" s="84"/>
      <c r="AD19" s="392"/>
      <c r="AE19" s="390"/>
      <c r="AF19" s="82"/>
      <c r="AG19" s="84"/>
      <c r="AH19" s="63"/>
      <c r="AI19" s="83"/>
      <c r="AJ19" s="83"/>
      <c r="AK19" s="86"/>
      <c r="AL19" s="86"/>
      <c r="AM19" s="86"/>
      <c r="AN19" s="86"/>
      <c r="AO19" s="86"/>
      <c r="AP19" s="390"/>
      <c r="AQ19" s="82" t="s">
        <v>177</v>
      </c>
      <c r="AR19" s="83" t="s">
        <v>177</v>
      </c>
      <c r="AS19" s="83"/>
      <c r="AT19" s="83"/>
      <c r="AU19" s="83"/>
      <c r="AV19" s="87"/>
      <c r="AW19" s="392"/>
      <c r="AX19" s="83"/>
      <c r="AY19" s="83"/>
      <c r="AZ19" s="83"/>
      <c r="BA19" s="88"/>
      <c r="BB19" s="393"/>
      <c r="BC19" s="82" t="s">
        <v>177</v>
      </c>
      <c r="BD19" s="90"/>
      <c r="BE19" s="88"/>
      <c r="BF19" s="88"/>
      <c r="BG19" s="88"/>
      <c r="BH19" s="91"/>
      <c r="BI19" s="89" t="s">
        <v>177</v>
      </c>
      <c r="BJ19" s="90"/>
      <c r="BK19" s="90"/>
      <c r="BL19" s="90"/>
      <c r="BM19" s="94"/>
      <c r="BN19" s="424"/>
      <c r="BO19" s="88"/>
      <c r="BP19" s="88"/>
      <c r="BQ19" s="91"/>
      <c r="BR19" s="89"/>
      <c r="BS19" s="90"/>
      <c r="BT19" s="90"/>
      <c r="BU19" s="88"/>
      <c r="BV19" s="88"/>
      <c r="BW19" s="92"/>
      <c r="BX19" s="92"/>
      <c r="BY19" s="92"/>
      <c r="BZ19" s="93"/>
      <c r="CA19" s="63"/>
      <c r="CB19" s="89"/>
      <c r="CC19" s="83" t="s">
        <v>177</v>
      </c>
      <c r="CD19" s="83" t="s">
        <v>177</v>
      </c>
      <c r="CE19" s="90"/>
      <c r="CF19" s="90"/>
      <c r="CG19" s="90"/>
      <c r="CH19" s="90"/>
      <c r="CI19" s="90"/>
      <c r="CJ19" s="90"/>
      <c r="CK19" s="90"/>
      <c r="CL19" s="90"/>
      <c r="CM19" s="90"/>
      <c r="CN19" s="394"/>
      <c r="CO19" s="94"/>
      <c r="CP19" s="395"/>
      <c r="CQ19" s="90"/>
      <c r="CR19" s="90"/>
      <c r="CS19" s="90"/>
      <c r="CT19" s="90"/>
      <c r="CU19" s="90"/>
      <c r="CV19" s="90"/>
      <c r="CW19" s="90"/>
      <c r="CX19" s="90"/>
      <c r="CY19" s="90"/>
      <c r="CZ19" s="90"/>
      <c r="DA19" s="90"/>
      <c r="DB19" s="90"/>
      <c r="DC19" s="394"/>
    </row>
    <row r="20" spans="1:107" ht="39.75" customHeight="1">
      <c r="A20" s="325"/>
      <c r="B20" s="423"/>
      <c r="C20" s="77" t="s">
        <v>200</v>
      </c>
      <c r="D20" s="389" t="s">
        <v>201</v>
      </c>
      <c r="E20" s="78">
        <v>7</v>
      </c>
      <c r="F20" s="79">
        <f t="shared" si="3"/>
        <v>15</v>
      </c>
      <c r="G20" s="80">
        <f t="shared" si="4"/>
        <v>13</v>
      </c>
      <c r="H20" s="80">
        <f t="shared" si="5"/>
        <v>2</v>
      </c>
      <c r="I20" s="81">
        <f t="shared" si="6"/>
        <v>0</v>
      </c>
      <c r="J20" s="1"/>
      <c r="K20" s="1"/>
      <c r="L20" s="82" t="s">
        <v>177</v>
      </c>
      <c r="M20" s="83" t="s">
        <v>177</v>
      </c>
      <c r="N20" s="83" t="s">
        <v>177</v>
      </c>
      <c r="O20" s="396"/>
      <c r="P20" s="82" t="s">
        <v>177</v>
      </c>
      <c r="Q20" s="83" t="s">
        <v>177</v>
      </c>
      <c r="R20" s="87"/>
      <c r="S20" s="392" t="s">
        <v>177</v>
      </c>
      <c r="T20" s="83" t="s">
        <v>177</v>
      </c>
      <c r="U20" s="390"/>
      <c r="V20" s="82" t="s">
        <v>177</v>
      </c>
      <c r="W20" s="83" t="s">
        <v>177</v>
      </c>
      <c r="X20" s="83" t="s">
        <v>177</v>
      </c>
      <c r="Y20" s="83" t="s">
        <v>177</v>
      </c>
      <c r="Z20" s="149"/>
      <c r="AA20" s="82" t="s">
        <v>177</v>
      </c>
      <c r="AB20" s="83" t="s">
        <v>177</v>
      </c>
      <c r="AC20" s="84"/>
      <c r="AD20" s="391"/>
      <c r="AE20" s="390"/>
      <c r="AF20" s="85"/>
      <c r="AG20" s="84"/>
      <c r="AH20" s="63"/>
      <c r="AI20" s="83"/>
      <c r="AJ20" s="83"/>
      <c r="AK20" s="86"/>
      <c r="AL20" s="86"/>
      <c r="AM20" s="86"/>
      <c r="AN20" s="86"/>
      <c r="AO20" s="86"/>
      <c r="AP20" s="390"/>
      <c r="AQ20" s="105" t="s">
        <v>177</v>
      </c>
      <c r="AR20" s="378"/>
      <c r="AS20" s="401"/>
      <c r="AT20" s="401"/>
      <c r="AU20" s="401"/>
      <c r="AV20" s="106"/>
      <c r="AW20" s="402"/>
      <c r="AX20" s="401"/>
      <c r="AY20" s="401"/>
      <c r="AZ20" s="401"/>
      <c r="BA20" s="403"/>
      <c r="BB20" s="107"/>
      <c r="BC20" s="108"/>
      <c r="BD20" s="404"/>
      <c r="BE20" s="403"/>
      <c r="BF20" s="403"/>
      <c r="BG20" s="403"/>
      <c r="BH20" s="109"/>
      <c r="BI20" s="89"/>
      <c r="BJ20" s="90"/>
      <c r="BK20" s="90"/>
      <c r="BL20" s="90"/>
      <c r="BM20" s="94"/>
      <c r="BN20" s="424"/>
      <c r="BO20" s="88"/>
      <c r="BP20" s="88"/>
      <c r="BQ20" s="91"/>
      <c r="BR20" s="82" t="s">
        <v>177</v>
      </c>
      <c r="BS20" s="90"/>
      <c r="BT20" s="90"/>
      <c r="BU20" s="88"/>
      <c r="BV20" s="88"/>
      <c r="BW20" s="92"/>
      <c r="BX20" s="92"/>
      <c r="BY20" s="92"/>
      <c r="BZ20" s="93"/>
      <c r="CA20" s="63"/>
      <c r="CB20" s="108"/>
      <c r="CC20" s="404"/>
      <c r="CD20" s="404"/>
      <c r="CE20" s="404"/>
      <c r="CF20" s="90"/>
      <c r="CG20" s="90"/>
      <c r="CH20" s="90"/>
      <c r="CI20" s="90"/>
      <c r="CJ20" s="90"/>
      <c r="CK20" s="90"/>
      <c r="CL20" s="90"/>
      <c r="CM20" s="90"/>
      <c r="CN20" s="394"/>
      <c r="CO20" s="94"/>
      <c r="CP20" s="395"/>
      <c r="CQ20" s="90"/>
      <c r="CR20" s="90"/>
      <c r="CS20" s="90"/>
      <c r="CT20" s="90"/>
      <c r="CU20" s="90"/>
      <c r="CV20" s="90"/>
      <c r="CW20" s="90"/>
      <c r="CX20" s="90"/>
      <c r="CY20" s="90"/>
      <c r="CZ20" s="90"/>
      <c r="DA20" s="90"/>
      <c r="DB20" s="90"/>
      <c r="DC20" s="394"/>
    </row>
    <row r="21" spans="1:107" ht="39.75" customHeight="1">
      <c r="A21" s="325"/>
      <c r="B21" s="423"/>
      <c r="C21" s="77" t="s">
        <v>202</v>
      </c>
      <c r="D21" s="389" t="s">
        <v>203</v>
      </c>
      <c r="E21" s="78">
        <v>6</v>
      </c>
      <c r="F21" s="79">
        <f t="shared" si="3"/>
        <v>18</v>
      </c>
      <c r="G21" s="80">
        <f t="shared" si="4"/>
        <v>13</v>
      </c>
      <c r="H21" s="80">
        <f t="shared" si="5"/>
        <v>3</v>
      </c>
      <c r="I21" s="95">
        <f t="shared" si="6"/>
        <v>2</v>
      </c>
      <c r="J21" s="1"/>
      <c r="K21" s="1"/>
      <c r="L21" s="82" t="s">
        <v>177</v>
      </c>
      <c r="M21" s="83" t="s">
        <v>177</v>
      </c>
      <c r="N21" s="83" t="s">
        <v>177</v>
      </c>
      <c r="O21" s="396"/>
      <c r="P21" s="82" t="s">
        <v>177</v>
      </c>
      <c r="Q21" s="83" t="s">
        <v>177</v>
      </c>
      <c r="R21" s="87"/>
      <c r="S21" s="392" t="s">
        <v>177</v>
      </c>
      <c r="T21" s="83" t="s">
        <v>177</v>
      </c>
      <c r="U21" s="390"/>
      <c r="V21" s="82" t="s">
        <v>177</v>
      </c>
      <c r="W21" s="83" t="s">
        <v>177</v>
      </c>
      <c r="X21" s="83" t="s">
        <v>177</v>
      </c>
      <c r="Y21" s="83" t="s">
        <v>177</v>
      </c>
      <c r="Z21" s="149"/>
      <c r="AA21" s="82" t="s">
        <v>177</v>
      </c>
      <c r="AB21" s="83" t="s">
        <v>177</v>
      </c>
      <c r="AC21" s="84"/>
      <c r="AD21" s="392"/>
      <c r="AE21" s="390"/>
      <c r="AF21" s="82"/>
      <c r="AG21" s="84"/>
      <c r="AH21" s="63"/>
      <c r="AI21" s="83"/>
      <c r="AJ21" s="83"/>
      <c r="AK21" s="86"/>
      <c r="AL21" s="86"/>
      <c r="AM21" s="86"/>
      <c r="AN21" s="86"/>
      <c r="AO21" s="86"/>
      <c r="AP21" s="390"/>
      <c r="AQ21" s="82" t="s">
        <v>177</v>
      </c>
      <c r="AR21" s="83"/>
      <c r="AS21" s="83"/>
      <c r="AT21" s="83"/>
      <c r="AU21" s="83"/>
      <c r="AV21" s="87"/>
      <c r="AW21" s="392"/>
      <c r="AX21" s="83"/>
      <c r="AY21" s="83"/>
      <c r="AZ21" s="83"/>
      <c r="BA21" s="88"/>
      <c r="BB21" s="393"/>
      <c r="BC21" s="89"/>
      <c r="BD21" s="90"/>
      <c r="BE21" s="88"/>
      <c r="BF21" s="88"/>
      <c r="BG21" s="88"/>
      <c r="BH21" s="91"/>
      <c r="BI21" s="82" t="s">
        <v>177</v>
      </c>
      <c r="BJ21" s="83"/>
      <c r="BK21" s="83"/>
      <c r="BL21" s="83"/>
      <c r="BM21" s="87" t="s">
        <v>177</v>
      </c>
      <c r="BN21" s="425"/>
      <c r="BO21" s="403"/>
      <c r="BP21" s="403"/>
      <c r="BQ21" s="109"/>
      <c r="BR21" s="108"/>
      <c r="BS21" s="404"/>
      <c r="BT21" s="404"/>
      <c r="BU21" s="403"/>
      <c r="BV21" s="107"/>
      <c r="BW21" s="92"/>
      <c r="BX21" s="92"/>
      <c r="BY21" s="92"/>
      <c r="BZ21" s="93"/>
      <c r="CA21" s="63"/>
      <c r="CB21" s="89"/>
      <c r="CC21" s="90"/>
      <c r="CD21" s="90"/>
      <c r="CE21" s="90"/>
      <c r="CF21" s="90"/>
      <c r="CG21" s="90"/>
      <c r="CH21" s="90"/>
      <c r="CI21" s="90"/>
      <c r="CJ21" s="90"/>
      <c r="CK21" s="90"/>
      <c r="CL21" s="90"/>
      <c r="CM21" s="90"/>
      <c r="CN21" s="394"/>
      <c r="CO21" s="94"/>
      <c r="CP21" s="392" t="s">
        <v>177</v>
      </c>
      <c r="CQ21" s="83" t="s">
        <v>177</v>
      </c>
      <c r="CR21" s="90"/>
      <c r="CS21" s="90"/>
      <c r="CT21" s="90"/>
      <c r="CU21" s="90"/>
      <c r="CV21" s="90"/>
      <c r="CW21" s="90"/>
      <c r="CX21" s="90"/>
      <c r="CY21" s="90"/>
      <c r="CZ21" s="90"/>
      <c r="DA21" s="90"/>
      <c r="DB21" s="90"/>
      <c r="DC21" s="394"/>
    </row>
    <row r="22" spans="1:107" ht="39.75" customHeight="1">
      <c r="A22" s="325"/>
      <c r="B22" s="423"/>
      <c r="C22" s="131" t="s">
        <v>204</v>
      </c>
      <c r="D22" s="407" t="s">
        <v>205</v>
      </c>
      <c r="E22" s="78">
        <v>2</v>
      </c>
      <c r="F22" s="79">
        <f t="shared" si="3"/>
        <v>1</v>
      </c>
      <c r="G22" s="80">
        <f t="shared" si="4"/>
        <v>0</v>
      </c>
      <c r="H22" s="80">
        <f t="shared" si="5"/>
        <v>1</v>
      </c>
      <c r="I22" s="95">
        <f t="shared" si="6"/>
        <v>0</v>
      </c>
      <c r="J22" s="1"/>
      <c r="K22" s="1"/>
      <c r="L22" s="82"/>
      <c r="M22" s="83"/>
      <c r="N22" s="83"/>
      <c r="O22" s="396"/>
      <c r="P22" s="82"/>
      <c r="Q22" s="83"/>
      <c r="R22" s="87"/>
      <c r="S22" s="392"/>
      <c r="T22" s="83"/>
      <c r="U22" s="390"/>
      <c r="V22" s="85"/>
      <c r="W22" s="86"/>
      <c r="X22" s="86"/>
      <c r="Y22" s="86"/>
      <c r="Z22" s="149"/>
      <c r="AA22" s="85"/>
      <c r="AB22" s="86"/>
      <c r="AC22" s="84"/>
      <c r="AD22" s="392"/>
      <c r="AE22" s="390"/>
      <c r="AF22" s="85"/>
      <c r="AG22" s="84"/>
      <c r="AH22" s="63"/>
      <c r="AI22" s="83"/>
      <c r="AJ22" s="83"/>
      <c r="AK22" s="83"/>
      <c r="AL22" s="83"/>
      <c r="AM22" s="83"/>
      <c r="AN22" s="83"/>
      <c r="AO22" s="83"/>
      <c r="AP22" s="396"/>
      <c r="AQ22" s="85"/>
      <c r="AR22" s="86"/>
      <c r="AS22" s="86"/>
      <c r="AT22" s="86"/>
      <c r="AU22" s="86"/>
      <c r="AV22" s="84"/>
      <c r="AW22" s="391"/>
      <c r="AX22" s="86"/>
      <c r="AY22" s="86"/>
      <c r="AZ22" s="86"/>
      <c r="BA22" s="92"/>
      <c r="BB22" s="426"/>
      <c r="BC22" s="89"/>
      <c r="BD22" s="90" t="s">
        <v>177</v>
      </c>
      <c r="BE22" s="92"/>
      <c r="BF22" s="92"/>
      <c r="BG22" s="92"/>
      <c r="BH22" s="93"/>
      <c r="BI22" s="150"/>
      <c r="BJ22" s="151"/>
      <c r="BK22" s="151"/>
      <c r="BL22" s="151"/>
      <c r="BM22" s="151"/>
      <c r="BN22" s="92"/>
      <c r="BO22" s="92"/>
      <c r="BP22" s="92"/>
      <c r="BQ22" s="93"/>
      <c r="BR22" s="90"/>
      <c r="BS22" s="90"/>
      <c r="BT22" s="90"/>
      <c r="BU22" s="92"/>
      <c r="BV22" s="92"/>
      <c r="BW22" s="92"/>
      <c r="BX22" s="92"/>
      <c r="BY22" s="92"/>
      <c r="BZ22" s="93"/>
      <c r="CA22" s="63"/>
      <c r="CB22" s="89"/>
      <c r="CC22" s="90"/>
      <c r="CD22" s="90"/>
      <c r="CE22" s="90"/>
      <c r="CF22" s="90"/>
      <c r="CG22" s="90"/>
      <c r="CH22" s="90"/>
      <c r="CI22" s="90"/>
      <c r="CJ22" s="90"/>
      <c r="CK22" s="90"/>
      <c r="CL22" s="90"/>
      <c r="CM22" s="90"/>
      <c r="CN22" s="394"/>
      <c r="CO22" s="94"/>
      <c r="CP22" s="395"/>
      <c r="CQ22" s="90"/>
      <c r="CR22" s="90"/>
      <c r="CS22" s="90"/>
      <c r="CT22" s="90"/>
      <c r="CU22" s="90"/>
      <c r="CV22" s="90"/>
      <c r="CW22" s="90"/>
      <c r="CX22" s="90"/>
      <c r="CY22" s="90"/>
      <c r="CZ22" s="90"/>
      <c r="DA22" s="90"/>
      <c r="DB22" s="90"/>
      <c r="DC22" s="394"/>
    </row>
    <row r="23" spans="1:107" ht="39.75" customHeight="1">
      <c r="A23" s="325"/>
      <c r="B23" s="421">
        <v>4</v>
      </c>
      <c r="C23" s="51" t="s">
        <v>206</v>
      </c>
      <c r="D23" s="52" t="s">
        <v>207</v>
      </c>
      <c r="E23" s="152">
        <v>8</v>
      </c>
      <c r="F23" s="54">
        <f t="shared" si="3"/>
        <v>10</v>
      </c>
      <c r="G23" s="55">
        <f t="shared" si="4"/>
        <v>9</v>
      </c>
      <c r="H23" s="55">
        <f t="shared" si="5"/>
        <v>1</v>
      </c>
      <c r="I23" s="56">
        <f t="shared" si="6"/>
        <v>0</v>
      </c>
      <c r="J23" s="1"/>
      <c r="K23" s="1"/>
      <c r="L23" s="57" t="s">
        <v>177</v>
      </c>
      <c r="M23" s="58" t="s">
        <v>177</v>
      </c>
      <c r="N23" s="58" t="s">
        <v>177</v>
      </c>
      <c r="O23" s="64"/>
      <c r="P23" s="57"/>
      <c r="Q23" s="58"/>
      <c r="R23" s="64"/>
      <c r="S23" s="57" t="s">
        <v>177</v>
      </c>
      <c r="T23" s="58" t="s">
        <v>177</v>
      </c>
      <c r="U23" s="59"/>
      <c r="V23" s="57" t="s">
        <v>177</v>
      </c>
      <c r="W23" s="58" t="s">
        <v>177</v>
      </c>
      <c r="X23" s="58" t="s">
        <v>177</v>
      </c>
      <c r="Y23" s="58" t="s">
        <v>177</v>
      </c>
      <c r="Z23" s="59"/>
      <c r="AA23" s="60"/>
      <c r="AB23" s="61"/>
      <c r="AC23" s="59"/>
      <c r="AD23" s="60"/>
      <c r="AE23" s="59"/>
      <c r="AF23" s="60"/>
      <c r="AG23" s="59"/>
      <c r="AH23" s="63"/>
      <c r="AI23" s="58"/>
      <c r="AJ23" s="64"/>
      <c r="AK23" s="61"/>
      <c r="AL23" s="61"/>
      <c r="AM23" s="61"/>
      <c r="AN23" s="61"/>
      <c r="AO23" s="61"/>
      <c r="AP23" s="385"/>
      <c r="AQ23" s="60"/>
      <c r="AR23" s="61" t="s">
        <v>177</v>
      </c>
      <c r="AS23" s="61"/>
      <c r="AT23" s="61"/>
      <c r="AU23" s="61"/>
      <c r="AV23" s="59"/>
      <c r="AW23" s="62"/>
      <c r="AX23" s="61"/>
      <c r="AY23" s="61"/>
      <c r="AZ23" s="61"/>
      <c r="BA23" s="70"/>
      <c r="BB23" s="427"/>
      <c r="BC23" s="153"/>
      <c r="BD23" s="154"/>
      <c r="BE23" s="70"/>
      <c r="BF23" s="70"/>
      <c r="BG23" s="70"/>
      <c r="BH23" s="71"/>
      <c r="BI23" s="153"/>
      <c r="BJ23" s="154"/>
      <c r="BK23" s="154"/>
      <c r="BL23" s="68"/>
      <c r="BM23" s="155"/>
      <c r="BN23" s="70"/>
      <c r="BO23" s="70"/>
      <c r="BP23" s="70"/>
      <c r="BQ23" s="71"/>
      <c r="BR23" s="67"/>
      <c r="BS23" s="154"/>
      <c r="BT23" s="68"/>
      <c r="BU23" s="70"/>
      <c r="BV23" s="70"/>
      <c r="BW23" s="70"/>
      <c r="BX23" s="70"/>
      <c r="BY23" s="70"/>
      <c r="BZ23" s="71"/>
      <c r="CA23" s="63"/>
      <c r="CB23" s="67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387"/>
      <c r="CO23" s="72"/>
      <c r="CP23" s="67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387"/>
    </row>
    <row r="24" spans="1:107" ht="39.75" customHeight="1">
      <c r="A24" s="325"/>
      <c r="B24" s="423"/>
      <c r="C24" s="77" t="s">
        <v>208</v>
      </c>
      <c r="D24" s="389" t="s">
        <v>209</v>
      </c>
      <c r="E24" s="156">
        <v>8</v>
      </c>
      <c r="F24" s="79">
        <f t="shared" si="3"/>
        <v>12</v>
      </c>
      <c r="G24" s="80">
        <f t="shared" si="4"/>
        <v>11</v>
      </c>
      <c r="H24" s="80">
        <f t="shared" si="5"/>
        <v>1</v>
      </c>
      <c r="I24" s="81">
        <f t="shared" si="6"/>
        <v>0</v>
      </c>
      <c r="J24" s="1"/>
      <c r="K24" s="1"/>
      <c r="L24" s="82" t="s">
        <v>177</v>
      </c>
      <c r="M24" s="83" t="s">
        <v>177</v>
      </c>
      <c r="N24" s="83" t="s">
        <v>177</v>
      </c>
      <c r="O24" s="87"/>
      <c r="P24" s="82"/>
      <c r="Q24" s="83"/>
      <c r="R24" s="87"/>
      <c r="S24" s="82" t="s">
        <v>177</v>
      </c>
      <c r="T24" s="83" t="s">
        <v>177</v>
      </c>
      <c r="U24" s="84"/>
      <c r="V24" s="82" t="s">
        <v>177</v>
      </c>
      <c r="W24" s="83" t="s">
        <v>177</v>
      </c>
      <c r="X24" s="83" t="s">
        <v>177</v>
      </c>
      <c r="Y24" s="83" t="s">
        <v>177</v>
      </c>
      <c r="Z24" s="84"/>
      <c r="AA24" s="83" t="s">
        <v>177</v>
      </c>
      <c r="AB24" s="83" t="s">
        <v>177</v>
      </c>
      <c r="AC24" s="84"/>
      <c r="AD24" s="85"/>
      <c r="AE24" s="84"/>
      <c r="AF24" s="85"/>
      <c r="AG24" s="84"/>
      <c r="AH24" s="63"/>
      <c r="AI24" s="83"/>
      <c r="AJ24" s="87"/>
      <c r="AK24" s="86"/>
      <c r="AL24" s="86"/>
      <c r="AM24" s="86"/>
      <c r="AN24" s="86"/>
      <c r="AO24" s="86"/>
      <c r="AP24" s="390"/>
      <c r="AQ24" s="85"/>
      <c r="AR24" s="83" t="s">
        <v>177</v>
      </c>
      <c r="AS24" s="86"/>
      <c r="AT24" s="86"/>
      <c r="AU24" s="86"/>
      <c r="AV24" s="84"/>
      <c r="AW24" s="391"/>
      <c r="AX24" s="86"/>
      <c r="AY24" s="86"/>
      <c r="AZ24" s="86"/>
      <c r="BA24" s="92"/>
      <c r="BB24" s="426"/>
      <c r="BC24" s="150"/>
      <c r="BD24" s="151"/>
      <c r="BE24" s="92"/>
      <c r="BF24" s="92"/>
      <c r="BG24" s="92"/>
      <c r="BH24" s="93"/>
      <c r="BI24" s="150"/>
      <c r="BJ24" s="151"/>
      <c r="BK24" s="151"/>
      <c r="BL24" s="90"/>
      <c r="BM24" s="157"/>
      <c r="BN24" s="92"/>
      <c r="BO24" s="92"/>
      <c r="BP24" s="92"/>
      <c r="BQ24" s="93"/>
      <c r="BR24" s="89"/>
      <c r="BS24" s="151"/>
      <c r="BT24" s="90"/>
      <c r="BU24" s="92"/>
      <c r="BV24" s="92"/>
      <c r="BW24" s="92"/>
      <c r="BX24" s="92"/>
      <c r="BY24" s="92"/>
      <c r="BZ24" s="93"/>
      <c r="CA24" s="63"/>
      <c r="CB24" s="89"/>
      <c r="CC24" s="90"/>
      <c r="CD24" s="90"/>
      <c r="CE24" s="90"/>
      <c r="CF24" s="90"/>
      <c r="CG24" s="90"/>
      <c r="CH24" s="90"/>
      <c r="CI24" s="90"/>
      <c r="CJ24" s="90"/>
      <c r="CK24" s="90"/>
      <c r="CL24" s="90"/>
      <c r="CM24" s="90"/>
      <c r="CN24" s="394"/>
      <c r="CO24" s="94"/>
      <c r="CP24" s="89"/>
      <c r="CQ24" s="90"/>
      <c r="CR24" s="90"/>
      <c r="CS24" s="90"/>
      <c r="CT24" s="90"/>
      <c r="CU24" s="90"/>
      <c r="CV24" s="90"/>
      <c r="CW24" s="90"/>
      <c r="CX24" s="90"/>
      <c r="CY24" s="90"/>
      <c r="CZ24" s="90"/>
      <c r="DA24" s="90"/>
      <c r="DB24" s="90"/>
      <c r="DC24" s="394"/>
    </row>
    <row r="25" spans="1:107" ht="39.75" customHeight="1">
      <c r="A25" s="325"/>
      <c r="B25" s="423"/>
      <c r="C25" s="77" t="s">
        <v>210</v>
      </c>
      <c r="D25" s="389" t="s">
        <v>211</v>
      </c>
      <c r="E25" s="156">
        <v>7</v>
      </c>
      <c r="F25" s="79">
        <f t="shared" si="3"/>
        <v>13</v>
      </c>
      <c r="G25" s="80">
        <f t="shared" si="4"/>
        <v>11</v>
      </c>
      <c r="H25" s="80">
        <f t="shared" si="5"/>
        <v>2</v>
      </c>
      <c r="I25" s="81">
        <f t="shared" si="6"/>
        <v>0</v>
      </c>
      <c r="J25" s="1"/>
      <c r="K25" s="1"/>
      <c r="L25" s="82" t="s">
        <v>177</v>
      </c>
      <c r="M25" s="83" t="s">
        <v>177</v>
      </c>
      <c r="N25" s="83" t="s">
        <v>177</v>
      </c>
      <c r="O25" s="87"/>
      <c r="P25" s="82" t="s">
        <v>177</v>
      </c>
      <c r="Q25" s="83" t="s">
        <v>177</v>
      </c>
      <c r="R25" s="87"/>
      <c r="S25" s="82" t="s">
        <v>177</v>
      </c>
      <c r="T25" s="83" t="s">
        <v>177</v>
      </c>
      <c r="U25" s="84"/>
      <c r="V25" s="82" t="s">
        <v>177</v>
      </c>
      <c r="W25" s="83" t="s">
        <v>177</v>
      </c>
      <c r="X25" s="83" t="s">
        <v>177</v>
      </c>
      <c r="Y25" s="83" t="s">
        <v>177</v>
      </c>
      <c r="Z25" s="84"/>
      <c r="AA25" s="85"/>
      <c r="AB25" s="86"/>
      <c r="AC25" s="84"/>
      <c r="AD25" s="85"/>
      <c r="AE25" s="84"/>
      <c r="AF25" s="85"/>
      <c r="AG25" s="84"/>
      <c r="AH25" s="63"/>
      <c r="AI25" s="83"/>
      <c r="AJ25" s="87"/>
      <c r="AK25" s="86"/>
      <c r="AL25" s="86"/>
      <c r="AM25" s="86"/>
      <c r="AN25" s="86"/>
      <c r="AO25" s="86"/>
      <c r="AP25" s="390"/>
      <c r="AQ25" s="82" t="s">
        <v>177</v>
      </c>
      <c r="AR25" s="86"/>
      <c r="AS25" s="86"/>
      <c r="AT25" s="86"/>
      <c r="AU25" s="86"/>
      <c r="AV25" s="84"/>
      <c r="AW25" s="391"/>
      <c r="AX25" s="86"/>
      <c r="AY25" s="86"/>
      <c r="AZ25" s="86"/>
      <c r="BA25" s="92"/>
      <c r="BB25" s="426"/>
      <c r="BC25" s="150"/>
      <c r="BD25" s="151"/>
      <c r="BE25" s="92"/>
      <c r="BF25" s="92"/>
      <c r="BG25" s="92"/>
      <c r="BH25" s="93"/>
      <c r="BI25" s="150"/>
      <c r="BJ25" s="151"/>
      <c r="BK25" s="151"/>
      <c r="BL25" s="90"/>
      <c r="BM25" s="157"/>
      <c r="BN25" s="92"/>
      <c r="BO25" s="92"/>
      <c r="BP25" s="92"/>
      <c r="BQ25" s="93"/>
      <c r="BR25" s="82" t="s">
        <v>177</v>
      </c>
      <c r="BS25" s="151"/>
      <c r="BT25" s="90"/>
      <c r="BU25" s="92"/>
      <c r="BV25" s="92"/>
      <c r="BW25" s="92"/>
      <c r="BX25" s="92"/>
      <c r="BY25" s="92"/>
      <c r="BZ25" s="93"/>
      <c r="CA25" s="63"/>
      <c r="CB25" s="89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  <c r="CN25" s="394"/>
      <c r="CO25" s="94"/>
      <c r="CP25" s="89"/>
      <c r="CQ25" s="90"/>
      <c r="CR25" s="90"/>
      <c r="CS25" s="90"/>
      <c r="CT25" s="90"/>
      <c r="CU25" s="90"/>
      <c r="CV25" s="90"/>
      <c r="CW25" s="90"/>
      <c r="CX25" s="90"/>
      <c r="CY25" s="90"/>
      <c r="CZ25" s="90"/>
      <c r="DA25" s="90"/>
      <c r="DB25" s="90"/>
      <c r="DC25" s="394"/>
    </row>
    <row r="26" spans="1:107" ht="39.75" customHeight="1">
      <c r="A26" s="325"/>
      <c r="B26" s="428"/>
      <c r="C26" s="131" t="s">
        <v>212</v>
      </c>
      <c r="D26" s="407" t="s">
        <v>213</v>
      </c>
      <c r="E26" s="156">
        <v>7</v>
      </c>
      <c r="F26" s="79">
        <f t="shared" si="3"/>
        <v>11</v>
      </c>
      <c r="G26" s="80">
        <f t="shared" si="4"/>
        <v>3</v>
      </c>
      <c r="H26" s="80">
        <f t="shared" si="5"/>
        <v>6</v>
      </c>
      <c r="I26" s="95">
        <f t="shared" si="6"/>
        <v>2</v>
      </c>
      <c r="J26" s="1"/>
      <c r="K26" s="1"/>
      <c r="L26" s="82"/>
      <c r="M26" s="83" t="s">
        <v>177</v>
      </c>
      <c r="N26" s="83"/>
      <c r="O26" s="87"/>
      <c r="P26" s="82"/>
      <c r="Q26" s="83"/>
      <c r="R26" s="87"/>
      <c r="S26" s="82"/>
      <c r="T26" s="83"/>
      <c r="U26" s="84"/>
      <c r="V26" s="82"/>
      <c r="W26" s="83" t="s">
        <v>177</v>
      </c>
      <c r="X26" s="83" t="s">
        <v>177</v>
      </c>
      <c r="Y26" s="83"/>
      <c r="Z26" s="84"/>
      <c r="AA26" s="85"/>
      <c r="AB26" s="86"/>
      <c r="AC26" s="84"/>
      <c r="AD26" s="82"/>
      <c r="AE26" s="84"/>
      <c r="AF26" s="82"/>
      <c r="AG26" s="84"/>
      <c r="AH26" s="63"/>
      <c r="AI26" s="83"/>
      <c r="AJ26" s="87"/>
      <c r="AK26" s="86"/>
      <c r="AL26" s="86"/>
      <c r="AM26" s="86"/>
      <c r="AN26" s="86"/>
      <c r="AO26" s="86"/>
      <c r="AP26" s="390"/>
      <c r="AQ26" s="82" t="s">
        <v>177</v>
      </c>
      <c r="AR26" s="83" t="s">
        <v>177</v>
      </c>
      <c r="AS26" s="86"/>
      <c r="AT26" s="86"/>
      <c r="AU26" s="86"/>
      <c r="AV26" s="84"/>
      <c r="AW26" s="392"/>
      <c r="AX26" s="83"/>
      <c r="AY26" s="86"/>
      <c r="AZ26" s="86"/>
      <c r="BA26" s="92"/>
      <c r="BB26" s="426"/>
      <c r="BC26" s="82" t="s">
        <v>177</v>
      </c>
      <c r="BD26" s="90"/>
      <c r="BE26" s="92"/>
      <c r="BF26" s="92"/>
      <c r="BG26" s="92"/>
      <c r="BH26" s="93"/>
      <c r="BI26" s="82" t="s">
        <v>177</v>
      </c>
      <c r="BJ26" s="83"/>
      <c r="BK26" s="83" t="s">
        <v>177</v>
      </c>
      <c r="BL26" s="83" t="s">
        <v>177</v>
      </c>
      <c r="BM26" s="94"/>
      <c r="BN26" s="92"/>
      <c r="BO26" s="92"/>
      <c r="BP26" s="92"/>
      <c r="BQ26" s="93"/>
      <c r="BR26" s="89"/>
      <c r="BS26" s="90"/>
      <c r="BT26" s="90"/>
      <c r="BU26" s="92"/>
      <c r="BV26" s="92"/>
      <c r="BW26" s="92"/>
      <c r="BX26" s="92"/>
      <c r="BY26" s="92"/>
      <c r="BZ26" s="93"/>
      <c r="CA26" s="63"/>
      <c r="CB26" s="89"/>
      <c r="CC26" s="83" t="s">
        <v>177</v>
      </c>
      <c r="CD26" s="83" t="s">
        <v>177</v>
      </c>
      <c r="CE26" s="90"/>
      <c r="CF26" s="90"/>
      <c r="CG26" s="90"/>
      <c r="CH26" s="90"/>
      <c r="CI26" s="90"/>
      <c r="CJ26" s="90"/>
      <c r="CK26" s="90"/>
      <c r="CL26" s="90"/>
      <c r="CM26" s="90"/>
      <c r="CN26" s="394"/>
      <c r="CO26" s="94"/>
      <c r="CP26" s="89"/>
      <c r="CQ26" s="90"/>
      <c r="CR26" s="90"/>
      <c r="CS26" s="90"/>
      <c r="CT26" s="90"/>
      <c r="CU26" s="90"/>
      <c r="CV26" s="90"/>
      <c r="CW26" s="90"/>
      <c r="CX26" s="90"/>
      <c r="CY26" s="90"/>
      <c r="CZ26" s="90"/>
      <c r="DA26" s="90"/>
      <c r="DB26" s="90"/>
      <c r="DC26" s="394"/>
    </row>
    <row r="27" spans="1:107" ht="39.75" customHeight="1">
      <c r="A27" s="1"/>
      <c r="B27" s="158"/>
      <c r="C27" s="4"/>
      <c r="D27" s="159"/>
      <c r="E27" s="160"/>
      <c r="F27" s="161"/>
      <c r="G27" s="159"/>
      <c r="H27" s="159"/>
      <c r="I27" s="161"/>
      <c r="J27" s="162"/>
      <c r="K27" s="1"/>
      <c r="L27" s="163"/>
      <c r="M27" s="163"/>
      <c r="N27" s="163"/>
      <c r="O27" s="163"/>
      <c r="P27" s="163"/>
      <c r="Q27" s="163"/>
      <c r="R27" s="163"/>
      <c r="S27" s="163"/>
      <c r="T27" s="16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6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  <c r="BQ27" s="164"/>
      <c r="BR27" s="164"/>
      <c r="BS27" s="164"/>
      <c r="BT27" s="164"/>
      <c r="BU27" s="164"/>
      <c r="BV27" s="164"/>
      <c r="BW27" s="164"/>
      <c r="BX27" s="164"/>
      <c r="BY27" s="164"/>
      <c r="BZ27" s="164"/>
      <c r="CA27" s="63"/>
      <c r="CB27" s="165"/>
      <c r="CC27" s="165"/>
      <c r="CD27" s="165"/>
      <c r="CE27" s="165"/>
      <c r="CF27" s="165"/>
      <c r="CG27" s="165"/>
      <c r="CH27" s="165"/>
      <c r="CI27" s="165"/>
      <c r="CJ27" s="165"/>
      <c r="CK27" s="165"/>
      <c r="CL27" s="165"/>
      <c r="CM27" s="165"/>
      <c r="CN27" s="165"/>
      <c r="CO27" s="165"/>
      <c r="CP27" s="165"/>
      <c r="CQ27" s="165"/>
      <c r="CR27" s="165"/>
      <c r="CS27" s="165"/>
      <c r="CT27" s="165"/>
      <c r="CU27" s="165"/>
      <c r="CV27" s="165"/>
      <c r="CW27" s="165"/>
      <c r="CX27" s="165"/>
      <c r="CY27" s="165"/>
      <c r="CZ27" s="165"/>
      <c r="DA27" s="165"/>
      <c r="DB27" s="165"/>
      <c r="DC27" s="165"/>
    </row>
    <row r="28" spans="1:107" ht="39.75" customHeight="1">
      <c r="A28" s="320" t="s">
        <v>214</v>
      </c>
      <c r="B28" s="384">
        <v>5</v>
      </c>
      <c r="C28" s="51" t="s">
        <v>215</v>
      </c>
      <c r="D28" s="166" t="s">
        <v>216</v>
      </c>
      <c r="E28" s="167">
        <v>7</v>
      </c>
      <c r="F28" s="54">
        <f t="shared" ref="F28:F50" si="7">SUM(G28:I28)</f>
        <v>6</v>
      </c>
      <c r="G28" s="55">
        <f t="shared" ref="G28:G50" si="8">COUNTIF(L28:AG28,"X")</f>
        <v>1</v>
      </c>
      <c r="H28" s="168">
        <f t="shared" ref="H28:H50" si="9">COUNTIF(AI28:BZ28,"X")</f>
        <v>4</v>
      </c>
      <c r="I28" s="169">
        <f t="shared" ref="I28:I50" si="10">COUNTIF(CB28:DC28,"X")</f>
        <v>1</v>
      </c>
      <c r="J28" s="1"/>
      <c r="K28" s="1"/>
      <c r="L28" s="57"/>
      <c r="M28" s="58"/>
      <c r="N28" s="58"/>
      <c r="O28" s="64"/>
      <c r="P28" s="57"/>
      <c r="Q28" s="58"/>
      <c r="R28" s="64"/>
      <c r="S28" s="57"/>
      <c r="T28" s="58"/>
      <c r="U28" s="59"/>
      <c r="V28" s="60"/>
      <c r="W28" s="61"/>
      <c r="X28" s="61"/>
      <c r="Y28" s="61"/>
      <c r="Z28" s="64" t="s">
        <v>177</v>
      </c>
      <c r="AA28" s="60"/>
      <c r="AB28" s="61"/>
      <c r="AC28" s="64"/>
      <c r="AD28" s="60"/>
      <c r="AE28" s="59"/>
      <c r="AF28" s="60"/>
      <c r="AG28" s="59"/>
      <c r="AH28" s="63"/>
      <c r="AI28" s="60"/>
      <c r="AJ28" s="61"/>
      <c r="AK28" s="61"/>
      <c r="AL28" s="61"/>
      <c r="AM28" s="61"/>
      <c r="AN28" s="61"/>
      <c r="AO28" s="61"/>
      <c r="AP28" s="59"/>
      <c r="AQ28" s="60"/>
      <c r="AR28" s="61"/>
      <c r="AS28" s="58" t="s">
        <v>177</v>
      </c>
      <c r="AT28" s="58" t="s">
        <v>177</v>
      </c>
      <c r="AU28" s="61"/>
      <c r="AV28" s="59"/>
      <c r="AW28" s="60"/>
      <c r="AX28" s="58"/>
      <c r="AY28" s="58"/>
      <c r="AZ28" s="58"/>
      <c r="BA28" s="70"/>
      <c r="BB28" s="71"/>
      <c r="BC28" s="170"/>
      <c r="BD28" s="70"/>
      <c r="BE28" s="70"/>
      <c r="BF28" s="68" t="s">
        <v>177</v>
      </c>
      <c r="BG28" s="70"/>
      <c r="BH28" s="71"/>
      <c r="BI28" s="170"/>
      <c r="BJ28" s="70"/>
      <c r="BK28" s="70"/>
      <c r="BL28" s="70"/>
      <c r="BM28" s="71"/>
      <c r="BN28" s="57" t="s">
        <v>177</v>
      </c>
      <c r="BO28" s="58"/>
      <c r="BP28" s="70"/>
      <c r="BQ28" s="71"/>
      <c r="BR28" s="170"/>
      <c r="BS28" s="70"/>
      <c r="BT28" s="70"/>
      <c r="BU28" s="68"/>
      <c r="BV28" s="68"/>
      <c r="BW28" s="68"/>
      <c r="BX28" s="70"/>
      <c r="BY28" s="70"/>
      <c r="BZ28" s="71"/>
      <c r="CA28" s="63"/>
      <c r="CB28" s="67"/>
      <c r="CC28" s="68"/>
      <c r="CD28" s="68"/>
      <c r="CE28" s="68"/>
      <c r="CF28" s="58" t="s">
        <v>177</v>
      </c>
      <c r="CG28" s="68"/>
      <c r="CH28" s="68"/>
      <c r="CI28" s="68"/>
      <c r="CJ28" s="68"/>
      <c r="CK28" s="68"/>
      <c r="CL28" s="68"/>
      <c r="CM28" s="68"/>
      <c r="CN28" s="387"/>
      <c r="CO28" s="72"/>
      <c r="CP28" s="67"/>
      <c r="CQ28" s="68"/>
      <c r="CR28" s="68"/>
      <c r="CS28" s="68"/>
      <c r="CT28" s="171"/>
      <c r="CU28" s="171"/>
      <c r="CV28" s="171"/>
      <c r="CW28" s="68"/>
      <c r="CX28" s="68"/>
      <c r="CY28" s="68"/>
      <c r="CZ28" s="68"/>
      <c r="DA28" s="68"/>
      <c r="DB28" s="68"/>
      <c r="DC28" s="387"/>
    </row>
    <row r="29" spans="1:107" ht="39.75" customHeight="1">
      <c r="A29" s="325"/>
      <c r="B29" s="388"/>
      <c r="C29" s="77" t="s">
        <v>217</v>
      </c>
      <c r="D29" s="172" t="s">
        <v>218</v>
      </c>
      <c r="E29" s="173">
        <v>6</v>
      </c>
      <c r="F29" s="79">
        <f t="shared" si="7"/>
        <v>6</v>
      </c>
      <c r="G29" s="80">
        <f t="shared" si="8"/>
        <v>1</v>
      </c>
      <c r="H29" s="174">
        <f t="shared" si="9"/>
        <v>3</v>
      </c>
      <c r="I29" s="95">
        <f t="shared" si="10"/>
        <v>2</v>
      </c>
      <c r="J29" s="1"/>
      <c r="K29" s="1"/>
      <c r="L29" s="82"/>
      <c r="M29" s="83"/>
      <c r="N29" s="83"/>
      <c r="O29" s="87"/>
      <c r="P29" s="82"/>
      <c r="Q29" s="83"/>
      <c r="R29" s="87"/>
      <c r="S29" s="82"/>
      <c r="T29" s="83"/>
      <c r="U29" s="84"/>
      <c r="V29" s="85"/>
      <c r="W29" s="86"/>
      <c r="X29" s="86"/>
      <c r="Y29" s="86"/>
      <c r="Z29" s="87" t="s">
        <v>177</v>
      </c>
      <c r="AA29" s="85"/>
      <c r="AB29" s="86"/>
      <c r="AC29" s="87"/>
      <c r="AD29" s="85"/>
      <c r="AE29" s="84"/>
      <c r="AF29" s="85"/>
      <c r="AG29" s="84"/>
      <c r="AH29" s="63"/>
      <c r="AI29" s="85"/>
      <c r="AJ29" s="86"/>
      <c r="AK29" s="86"/>
      <c r="AL29" s="86"/>
      <c r="AM29" s="86"/>
      <c r="AN29" s="86"/>
      <c r="AO29" s="86"/>
      <c r="AP29" s="84"/>
      <c r="AQ29" s="85"/>
      <c r="AR29" s="86"/>
      <c r="AS29" s="83"/>
      <c r="AT29" s="83" t="s">
        <v>177</v>
      </c>
      <c r="AU29" s="86"/>
      <c r="AV29" s="84"/>
      <c r="AW29" s="85"/>
      <c r="AX29" s="83"/>
      <c r="AY29" s="83"/>
      <c r="AZ29" s="83"/>
      <c r="BA29" s="92"/>
      <c r="BB29" s="93"/>
      <c r="BC29" s="175"/>
      <c r="BD29" s="92"/>
      <c r="BE29" s="151"/>
      <c r="BF29" s="83" t="s">
        <v>177</v>
      </c>
      <c r="BG29" s="92"/>
      <c r="BH29" s="93"/>
      <c r="BI29" s="175"/>
      <c r="BJ29" s="92"/>
      <c r="BK29" s="92"/>
      <c r="BL29" s="92"/>
      <c r="BM29" s="93"/>
      <c r="BN29" s="82"/>
      <c r="BO29" s="83" t="s">
        <v>177</v>
      </c>
      <c r="BP29" s="92"/>
      <c r="BQ29" s="93"/>
      <c r="BR29" s="175"/>
      <c r="BS29" s="92"/>
      <c r="BT29" s="92"/>
      <c r="BU29" s="90"/>
      <c r="BV29" s="90"/>
      <c r="BW29" s="90"/>
      <c r="BX29" s="92"/>
      <c r="BY29" s="92"/>
      <c r="BZ29" s="93"/>
      <c r="CA29" s="63"/>
      <c r="CB29" s="89"/>
      <c r="CC29" s="90"/>
      <c r="CD29" s="90"/>
      <c r="CE29" s="90"/>
      <c r="CF29" s="83" t="s">
        <v>177</v>
      </c>
      <c r="CG29" s="90"/>
      <c r="CH29" s="90"/>
      <c r="CI29" s="83" t="s">
        <v>177</v>
      </c>
      <c r="CJ29" s="90"/>
      <c r="CK29" s="90"/>
      <c r="CL29" s="90"/>
      <c r="CM29" s="90"/>
      <c r="CN29" s="394"/>
      <c r="CO29" s="94"/>
      <c r="CP29" s="89"/>
      <c r="CQ29" s="90"/>
      <c r="CR29" s="90"/>
      <c r="CS29" s="90"/>
      <c r="CT29" s="176"/>
      <c r="CU29" s="176"/>
      <c r="CV29" s="176"/>
      <c r="CW29" s="90"/>
      <c r="CX29" s="90"/>
      <c r="CY29" s="90"/>
      <c r="CZ29" s="90"/>
      <c r="DA29" s="90"/>
      <c r="DB29" s="90"/>
      <c r="DC29" s="394"/>
    </row>
    <row r="30" spans="1:107" ht="39.75" customHeight="1">
      <c r="A30" s="325"/>
      <c r="B30" s="388"/>
      <c r="C30" s="77" t="s">
        <v>219</v>
      </c>
      <c r="D30" s="172" t="s">
        <v>220</v>
      </c>
      <c r="E30" s="173">
        <v>7</v>
      </c>
      <c r="F30" s="79">
        <f t="shared" si="7"/>
        <v>9</v>
      </c>
      <c r="G30" s="80">
        <f t="shared" si="8"/>
        <v>5</v>
      </c>
      <c r="H30" s="80">
        <f t="shared" si="9"/>
        <v>4</v>
      </c>
      <c r="I30" s="81">
        <f t="shared" si="10"/>
        <v>0</v>
      </c>
      <c r="J30" s="1"/>
      <c r="K30" s="1"/>
      <c r="L30" s="82"/>
      <c r="M30" s="83"/>
      <c r="N30" s="83"/>
      <c r="O30" s="87" t="s">
        <v>177</v>
      </c>
      <c r="P30" s="82"/>
      <c r="Q30" s="83"/>
      <c r="R30" s="87" t="s">
        <v>177</v>
      </c>
      <c r="S30" s="82"/>
      <c r="T30" s="83"/>
      <c r="U30" s="87" t="s">
        <v>177</v>
      </c>
      <c r="V30" s="85"/>
      <c r="W30" s="86"/>
      <c r="X30" s="86"/>
      <c r="Y30" s="86"/>
      <c r="Z30" s="87" t="s">
        <v>177</v>
      </c>
      <c r="AA30" s="85"/>
      <c r="AB30" s="86"/>
      <c r="AC30" s="87" t="s">
        <v>177</v>
      </c>
      <c r="AD30" s="85"/>
      <c r="AE30" s="84"/>
      <c r="AF30" s="85"/>
      <c r="AG30" s="84"/>
      <c r="AH30" s="63"/>
      <c r="AI30" s="85"/>
      <c r="AJ30" s="86"/>
      <c r="AK30" s="86"/>
      <c r="AL30" s="86"/>
      <c r="AM30" s="86"/>
      <c r="AN30" s="86"/>
      <c r="AO30" s="86"/>
      <c r="AP30" s="84"/>
      <c r="AQ30" s="85"/>
      <c r="AR30" s="86"/>
      <c r="AS30" s="83" t="s">
        <v>177</v>
      </c>
      <c r="AT30" s="83" t="s">
        <v>177</v>
      </c>
      <c r="AU30" s="86"/>
      <c r="AV30" s="84"/>
      <c r="AW30" s="85"/>
      <c r="AX30" s="83"/>
      <c r="AY30" s="83"/>
      <c r="AZ30" s="83"/>
      <c r="BA30" s="92"/>
      <c r="BB30" s="93"/>
      <c r="BC30" s="175"/>
      <c r="BD30" s="92"/>
      <c r="BE30" s="151"/>
      <c r="BF30" s="90"/>
      <c r="BG30" s="92"/>
      <c r="BH30" s="93"/>
      <c r="BI30" s="175"/>
      <c r="BJ30" s="92"/>
      <c r="BK30" s="92"/>
      <c r="BL30" s="92"/>
      <c r="BM30" s="93"/>
      <c r="BN30" s="82" t="s">
        <v>177</v>
      </c>
      <c r="BO30" s="83" t="s">
        <v>177</v>
      </c>
      <c r="BP30" s="92"/>
      <c r="BQ30" s="93"/>
      <c r="BR30" s="175"/>
      <c r="BS30" s="92"/>
      <c r="BT30" s="92"/>
      <c r="BU30" s="90"/>
      <c r="BV30" s="90"/>
      <c r="BW30" s="90"/>
      <c r="BX30" s="92"/>
      <c r="BY30" s="92"/>
      <c r="BZ30" s="93"/>
      <c r="CA30" s="63"/>
      <c r="CB30" s="89"/>
      <c r="CC30" s="90"/>
      <c r="CD30" s="90"/>
      <c r="CE30" s="90"/>
      <c r="CF30" s="90"/>
      <c r="CG30" s="90"/>
      <c r="CH30" s="90"/>
      <c r="CI30" s="90"/>
      <c r="CJ30" s="90"/>
      <c r="CK30" s="90"/>
      <c r="CL30" s="90"/>
      <c r="CM30" s="90"/>
      <c r="CN30" s="394"/>
      <c r="CO30" s="94"/>
      <c r="CP30" s="89"/>
      <c r="CQ30" s="90"/>
      <c r="CR30" s="90"/>
      <c r="CS30" s="90"/>
      <c r="CT30" s="90"/>
      <c r="CU30" s="90"/>
      <c r="CV30" s="90"/>
      <c r="CW30" s="90"/>
      <c r="CX30" s="90"/>
      <c r="CY30" s="90"/>
      <c r="CZ30" s="90"/>
      <c r="DA30" s="90"/>
      <c r="DB30" s="90"/>
      <c r="DC30" s="394"/>
    </row>
    <row r="31" spans="1:107" ht="39.75" customHeight="1">
      <c r="A31" s="325"/>
      <c r="B31" s="388"/>
      <c r="C31" s="77" t="s">
        <v>221</v>
      </c>
      <c r="D31" s="177" t="s">
        <v>222</v>
      </c>
      <c r="E31" s="173">
        <v>7</v>
      </c>
      <c r="F31" s="79">
        <f t="shared" si="7"/>
        <v>10</v>
      </c>
      <c r="G31" s="80">
        <f t="shared" si="8"/>
        <v>4</v>
      </c>
      <c r="H31" s="174">
        <f t="shared" si="9"/>
        <v>4</v>
      </c>
      <c r="I31" s="95">
        <f t="shared" si="10"/>
        <v>2</v>
      </c>
      <c r="J31" s="1"/>
      <c r="K31" s="1"/>
      <c r="L31" s="82"/>
      <c r="M31" s="83"/>
      <c r="N31" s="83"/>
      <c r="O31" s="87" t="s">
        <v>177</v>
      </c>
      <c r="P31" s="82"/>
      <c r="Q31" s="83"/>
      <c r="R31" s="87" t="s">
        <v>177</v>
      </c>
      <c r="S31" s="82"/>
      <c r="T31" s="83"/>
      <c r="U31" s="84"/>
      <c r="V31" s="85"/>
      <c r="W31" s="86"/>
      <c r="X31" s="86"/>
      <c r="Y31" s="86"/>
      <c r="Z31" s="87" t="s">
        <v>177</v>
      </c>
      <c r="AA31" s="85"/>
      <c r="AB31" s="86"/>
      <c r="AC31" s="87" t="s">
        <v>177</v>
      </c>
      <c r="AD31" s="85"/>
      <c r="AE31" s="84"/>
      <c r="AF31" s="85"/>
      <c r="AG31" s="84"/>
      <c r="AH31" s="63"/>
      <c r="AI31" s="85"/>
      <c r="AJ31" s="86"/>
      <c r="AK31" s="86"/>
      <c r="AL31" s="86"/>
      <c r="AM31" s="86"/>
      <c r="AN31" s="86"/>
      <c r="AO31" s="86"/>
      <c r="AP31" s="84"/>
      <c r="AQ31" s="85"/>
      <c r="AR31" s="86"/>
      <c r="AS31" s="83" t="s">
        <v>177</v>
      </c>
      <c r="AT31" s="83" t="s">
        <v>177</v>
      </c>
      <c r="AU31" s="86"/>
      <c r="AV31" s="84"/>
      <c r="AW31" s="85"/>
      <c r="AX31" s="83"/>
      <c r="AY31" s="83"/>
      <c r="AZ31" s="83"/>
      <c r="BA31" s="92"/>
      <c r="BB31" s="93"/>
      <c r="BC31" s="175"/>
      <c r="BD31" s="92"/>
      <c r="BE31" s="151"/>
      <c r="BF31" s="83" t="s">
        <v>177</v>
      </c>
      <c r="BG31" s="92"/>
      <c r="BH31" s="93"/>
      <c r="BI31" s="175"/>
      <c r="BJ31" s="92"/>
      <c r="BK31" s="92"/>
      <c r="BL31" s="92"/>
      <c r="BM31" s="93"/>
      <c r="BN31" s="82" t="s">
        <v>177</v>
      </c>
      <c r="BO31" s="83"/>
      <c r="BP31" s="92"/>
      <c r="BQ31" s="93"/>
      <c r="BR31" s="175"/>
      <c r="BS31" s="92"/>
      <c r="BT31" s="92"/>
      <c r="BU31" s="90"/>
      <c r="BV31" s="90"/>
      <c r="BW31" s="90"/>
      <c r="BX31" s="92"/>
      <c r="BY31" s="92"/>
      <c r="BZ31" s="93"/>
      <c r="CA31" s="63"/>
      <c r="CB31" s="89"/>
      <c r="CC31" s="90"/>
      <c r="CD31" s="90"/>
      <c r="CE31" s="90"/>
      <c r="CF31" s="90"/>
      <c r="CG31" s="90"/>
      <c r="CH31" s="90"/>
      <c r="CI31" s="90"/>
      <c r="CJ31" s="90"/>
      <c r="CK31" s="90"/>
      <c r="CL31" s="90"/>
      <c r="CM31" s="90"/>
      <c r="CN31" s="394"/>
      <c r="CO31" s="94"/>
      <c r="CP31" s="89"/>
      <c r="CQ31" s="90"/>
      <c r="CR31" s="90"/>
      <c r="CS31" s="90"/>
      <c r="CT31" s="90"/>
      <c r="CU31" s="83" t="s">
        <v>177</v>
      </c>
      <c r="CV31" s="83" t="s">
        <v>177</v>
      </c>
      <c r="CW31" s="90"/>
      <c r="CX31" s="90"/>
      <c r="CY31" s="90"/>
      <c r="CZ31" s="90"/>
      <c r="DA31" s="90"/>
      <c r="DB31" s="90"/>
      <c r="DC31" s="394"/>
    </row>
    <row r="32" spans="1:107" ht="39.75" customHeight="1">
      <c r="A32" s="325"/>
      <c r="B32" s="388"/>
      <c r="C32" s="77" t="s">
        <v>223</v>
      </c>
      <c r="D32" s="177" t="s">
        <v>224</v>
      </c>
      <c r="E32" s="173">
        <v>2</v>
      </c>
      <c r="F32" s="79">
        <f t="shared" si="7"/>
        <v>2</v>
      </c>
      <c r="G32" s="80">
        <f t="shared" si="8"/>
        <v>0</v>
      </c>
      <c r="H32" s="174">
        <f t="shared" si="9"/>
        <v>2</v>
      </c>
      <c r="I32" s="95">
        <f t="shared" si="10"/>
        <v>0</v>
      </c>
      <c r="J32" s="1"/>
      <c r="K32" s="1"/>
      <c r="L32" s="82"/>
      <c r="M32" s="83"/>
      <c r="N32" s="83"/>
      <c r="O32" s="87"/>
      <c r="P32" s="82"/>
      <c r="Q32" s="83"/>
      <c r="R32" s="87"/>
      <c r="S32" s="82"/>
      <c r="T32" s="83"/>
      <c r="U32" s="84"/>
      <c r="V32" s="85"/>
      <c r="W32" s="86"/>
      <c r="X32" s="86"/>
      <c r="Y32" s="86"/>
      <c r="Z32" s="84"/>
      <c r="AA32" s="85"/>
      <c r="AB32" s="378"/>
      <c r="AC32" s="87"/>
      <c r="AD32" s="85"/>
      <c r="AE32" s="84"/>
      <c r="AF32" s="85"/>
      <c r="AG32" s="84"/>
      <c r="AH32" s="63"/>
      <c r="AI32" s="44"/>
      <c r="AJ32" s="86"/>
      <c r="AK32" s="86"/>
      <c r="AL32" s="86"/>
      <c r="AM32" s="86"/>
      <c r="AN32" s="86"/>
      <c r="AO32" s="86"/>
      <c r="AP32" s="84"/>
      <c r="AQ32" s="44"/>
      <c r="AR32" s="378"/>
      <c r="AS32" s="83"/>
      <c r="AT32" s="83"/>
      <c r="AU32" s="86"/>
      <c r="AV32" s="84"/>
      <c r="AW32" s="85"/>
      <c r="AX32" s="83"/>
      <c r="AY32" s="83"/>
      <c r="AZ32" s="83"/>
      <c r="BA32" s="92"/>
      <c r="BB32" s="93"/>
      <c r="BC32" s="175"/>
      <c r="BD32" s="92"/>
      <c r="BE32" s="90" t="s">
        <v>177</v>
      </c>
      <c r="BF32" s="90" t="s">
        <v>177</v>
      </c>
      <c r="BG32" s="92"/>
      <c r="BH32" s="93"/>
      <c r="BI32" s="175"/>
      <c r="BJ32" s="92"/>
      <c r="BK32" s="92"/>
      <c r="BL32" s="429"/>
      <c r="BM32" s="93"/>
      <c r="BN32" s="429"/>
      <c r="BO32" s="429"/>
      <c r="BP32" s="92"/>
      <c r="BQ32" s="93"/>
      <c r="BR32" s="175"/>
      <c r="BS32" s="92"/>
      <c r="BT32" s="92"/>
      <c r="BU32" s="90"/>
      <c r="BV32" s="90"/>
      <c r="BW32" s="90"/>
      <c r="BX32" s="92"/>
      <c r="BY32" s="92"/>
      <c r="BZ32" s="93"/>
      <c r="CA32" s="63"/>
      <c r="CB32" s="108"/>
      <c r="CC32" s="90"/>
      <c r="CD32" s="90"/>
      <c r="CE32" s="404"/>
      <c r="CF32" s="90"/>
      <c r="CG32" s="90"/>
      <c r="CH32" s="90"/>
      <c r="CI32" s="90"/>
      <c r="CJ32" s="90"/>
      <c r="CK32" s="90"/>
      <c r="CL32" s="90"/>
      <c r="CM32" s="90"/>
      <c r="CN32" s="394"/>
      <c r="CO32" s="94"/>
      <c r="CP32" s="108"/>
      <c r="CQ32" s="90"/>
      <c r="CR32" s="90"/>
      <c r="CS32" s="404"/>
      <c r="CT32" s="176"/>
      <c r="CU32" s="176" t="s">
        <v>225</v>
      </c>
      <c r="CV32" s="176"/>
      <c r="CW32" s="90"/>
      <c r="CX32" s="90"/>
      <c r="CY32" s="90"/>
      <c r="CZ32" s="90"/>
      <c r="DA32" s="90"/>
      <c r="DB32" s="90"/>
      <c r="DC32" s="394"/>
    </row>
    <row r="33" spans="1:107" ht="39.75" customHeight="1">
      <c r="A33" s="325"/>
      <c r="B33" s="406"/>
      <c r="C33" s="430" t="s">
        <v>226</v>
      </c>
      <c r="D33" s="178" t="s">
        <v>227</v>
      </c>
      <c r="E33" s="179">
        <v>9</v>
      </c>
      <c r="F33" s="96">
        <f t="shared" si="7"/>
        <v>11</v>
      </c>
      <c r="G33" s="97">
        <f t="shared" si="8"/>
        <v>3</v>
      </c>
      <c r="H33" s="180">
        <f t="shared" si="9"/>
        <v>6</v>
      </c>
      <c r="I33" s="98">
        <f t="shared" si="10"/>
        <v>2</v>
      </c>
      <c r="J33" s="1"/>
      <c r="K33" s="1"/>
      <c r="L33" s="99"/>
      <c r="M33" s="104"/>
      <c r="N33" s="104"/>
      <c r="O33" s="132"/>
      <c r="P33" s="99"/>
      <c r="Q33" s="104"/>
      <c r="R33" s="132"/>
      <c r="S33" s="99"/>
      <c r="T33" s="104"/>
      <c r="U33" s="132"/>
      <c r="V33" s="102"/>
      <c r="W33" s="100"/>
      <c r="X33" s="100"/>
      <c r="Y33" s="100"/>
      <c r="Z33" s="101"/>
      <c r="AA33" s="181"/>
      <c r="AB33" s="87" t="s">
        <v>177</v>
      </c>
      <c r="AC33" s="182"/>
      <c r="AD33" s="87" t="s">
        <v>177</v>
      </c>
      <c r="AE33" s="101"/>
      <c r="AF33" s="87" t="s">
        <v>177</v>
      </c>
      <c r="AG33" s="101"/>
      <c r="AH33" s="63"/>
      <c r="AI33" s="87" t="s">
        <v>177</v>
      </c>
      <c r="AJ33" s="400"/>
      <c r="AK33" s="104"/>
      <c r="AL33" s="100"/>
      <c r="AM33" s="100"/>
      <c r="AN33" s="100"/>
      <c r="AO33" s="100"/>
      <c r="AP33" s="101"/>
      <c r="AQ33" s="87" t="s">
        <v>177</v>
      </c>
      <c r="AR33" s="87" t="s">
        <v>177</v>
      </c>
      <c r="AS33" s="417"/>
      <c r="AT33" s="104"/>
      <c r="AU33" s="100"/>
      <c r="AV33" s="101"/>
      <c r="AW33" s="87" t="s">
        <v>177</v>
      </c>
      <c r="AX33" s="87"/>
      <c r="AY33" s="104"/>
      <c r="AZ33" s="104"/>
      <c r="BA33" s="114"/>
      <c r="BB33" s="115"/>
      <c r="BC33" s="183"/>
      <c r="BD33" s="114"/>
      <c r="BE33" s="184"/>
      <c r="BF33" s="111"/>
      <c r="BG33" s="114"/>
      <c r="BH33" s="115"/>
      <c r="BI33" s="183"/>
      <c r="BJ33" s="114"/>
      <c r="BK33" s="185"/>
      <c r="BL33" s="87" t="s">
        <v>177</v>
      </c>
      <c r="BM33" s="186"/>
      <c r="BN33" s="99"/>
      <c r="BO33" s="104"/>
      <c r="BP33" s="114"/>
      <c r="BQ33" s="115"/>
      <c r="BR33" s="99" t="s">
        <v>177</v>
      </c>
      <c r="BS33" s="114"/>
      <c r="BT33" s="114"/>
      <c r="BU33" s="111"/>
      <c r="BV33" s="111"/>
      <c r="BW33" s="111"/>
      <c r="BX33" s="114"/>
      <c r="BY33" s="114"/>
      <c r="BZ33" s="115"/>
      <c r="CA33" s="63"/>
      <c r="CB33" s="83" t="s">
        <v>177</v>
      </c>
      <c r="CC33" s="431"/>
      <c r="CD33" s="116"/>
      <c r="CE33" s="83" t="s">
        <v>177</v>
      </c>
      <c r="CF33" s="431"/>
      <c r="CG33" s="111"/>
      <c r="CH33" s="111"/>
      <c r="CI33" s="111"/>
      <c r="CJ33" s="111"/>
      <c r="CK33" s="111"/>
      <c r="CL33" s="111"/>
      <c r="CM33" s="111"/>
      <c r="CN33" s="116"/>
      <c r="CO33" s="117"/>
      <c r="CP33" s="431"/>
      <c r="CQ33" s="431"/>
      <c r="CR33" s="116"/>
      <c r="CS33" s="431"/>
      <c r="CT33" s="431"/>
      <c r="CU33" s="111"/>
      <c r="CV33" s="111"/>
      <c r="CW33" s="111"/>
      <c r="CX33" s="111"/>
      <c r="CY33" s="111"/>
      <c r="CZ33" s="111"/>
      <c r="DA33" s="111"/>
      <c r="DB33" s="111"/>
      <c r="DC33" s="116"/>
    </row>
    <row r="34" spans="1:107" ht="39.75" customHeight="1">
      <c r="A34" s="325"/>
      <c r="B34" s="384">
        <v>6</v>
      </c>
      <c r="C34" s="432" t="s">
        <v>228</v>
      </c>
      <c r="D34" s="187" t="s">
        <v>229</v>
      </c>
      <c r="E34" s="433">
        <v>7</v>
      </c>
      <c r="F34" s="54">
        <f t="shared" si="7"/>
        <v>8</v>
      </c>
      <c r="G34" s="55">
        <f t="shared" si="8"/>
        <v>2</v>
      </c>
      <c r="H34" s="168">
        <f t="shared" si="9"/>
        <v>4</v>
      </c>
      <c r="I34" s="169">
        <f t="shared" si="10"/>
        <v>2</v>
      </c>
      <c r="J34" s="1"/>
      <c r="K34" s="1"/>
      <c r="L34" s="57"/>
      <c r="M34" s="58"/>
      <c r="N34" s="58"/>
      <c r="O34" s="64" t="s">
        <v>177</v>
      </c>
      <c r="P34" s="57"/>
      <c r="Q34" s="58"/>
      <c r="R34" s="64"/>
      <c r="S34" s="57"/>
      <c r="T34" s="58"/>
      <c r="U34" s="64"/>
      <c r="V34" s="60"/>
      <c r="W34" s="61"/>
      <c r="X34" s="61"/>
      <c r="Y34" s="61"/>
      <c r="Z34" s="188" t="s">
        <v>177</v>
      </c>
      <c r="AA34" s="60"/>
      <c r="AB34" s="61"/>
      <c r="AC34" s="64"/>
      <c r="AD34" s="60"/>
      <c r="AE34" s="59"/>
      <c r="AF34" s="60"/>
      <c r="AG34" s="59"/>
      <c r="AH34" s="63"/>
      <c r="AI34" s="60"/>
      <c r="AJ34" s="61"/>
      <c r="AK34" s="61"/>
      <c r="AL34" s="61"/>
      <c r="AM34" s="61"/>
      <c r="AN34" s="61"/>
      <c r="AO34" s="61"/>
      <c r="AP34" s="59"/>
      <c r="AQ34" s="60"/>
      <c r="AR34" s="61"/>
      <c r="AS34" s="58" t="s">
        <v>177</v>
      </c>
      <c r="AT34" s="58" t="s">
        <v>177</v>
      </c>
      <c r="AU34" s="61"/>
      <c r="AV34" s="385"/>
      <c r="AW34" s="60"/>
      <c r="AX34" s="58"/>
      <c r="AY34" s="58"/>
      <c r="AZ34" s="58"/>
      <c r="BA34" s="70"/>
      <c r="BB34" s="71"/>
      <c r="BC34" s="170"/>
      <c r="BD34" s="70"/>
      <c r="BE34" s="154"/>
      <c r="BF34" s="68" t="s">
        <v>177</v>
      </c>
      <c r="BG34" s="70"/>
      <c r="BH34" s="71"/>
      <c r="BI34" s="170"/>
      <c r="BJ34" s="70"/>
      <c r="BK34" s="70"/>
      <c r="BL34" s="70"/>
      <c r="BM34" s="70"/>
      <c r="BN34" s="58" t="s">
        <v>177</v>
      </c>
      <c r="BO34" s="58"/>
      <c r="BP34" s="70"/>
      <c r="BQ34" s="427"/>
      <c r="BR34" s="170"/>
      <c r="BS34" s="70"/>
      <c r="BT34" s="70"/>
      <c r="BU34" s="68"/>
      <c r="BV34" s="68"/>
      <c r="BW34" s="68"/>
      <c r="BX34" s="70"/>
      <c r="BY34" s="70"/>
      <c r="BZ34" s="71"/>
      <c r="CA34" s="63"/>
      <c r="CB34" s="67"/>
      <c r="CC34" s="68"/>
      <c r="CD34" s="68"/>
      <c r="CE34" s="68"/>
      <c r="CF34" s="58" t="s">
        <v>177</v>
      </c>
      <c r="CG34" s="68"/>
      <c r="CH34" s="68"/>
      <c r="CI34" s="68"/>
      <c r="CJ34" s="68"/>
      <c r="CK34" s="58" t="s">
        <v>177</v>
      </c>
      <c r="CL34" s="68"/>
      <c r="CM34" s="68"/>
      <c r="CN34" s="387"/>
      <c r="CO34" s="72"/>
      <c r="CP34" s="67"/>
      <c r="CQ34" s="68"/>
      <c r="CR34" s="68"/>
      <c r="CS34" s="68"/>
      <c r="CT34" s="171"/>
      <c r="CU34" s="171"/>
      <c r="CV34" s="171"/>
      <c r="CW34" s="68"/>
      <c r="CX34" s="68"/>
      <c r="CY34" s="68"/>
      <c r="CZ34" s="68"/>
      <c r="DA34" s="68"/>
      <c r="DB34" s="68"/>
      <c r="DC34" s="387"/>
    </row>
    <row r="35" spans="1:107" ht="39.75" customHeight="1">
      <c r="A35" s="325"/>
      <c r="B35" s="388"/>
      <c r="C35" s="434" t="s">
        <v>230</v>
      </c>
      <c r="D35" s="189" t="s">
        <v>231</v>
      </c>
      <c r="E35" s="173">
        <v>6</v>
      </c>
      <c r="F35" s="79">
        <f t="shared" si="7"/>
        <v>7</v>
      </c>
      <c r="G35" s="80">
        <f t="shared" si="8"/>
        <v>1</v>
      </c>
      <c r="H35" s="174">
        <f t="shared" si="9"/>
        <v>4</v>
      </c>
      <c r="I35" s="95">
        <f t="shared" si="10"/>
        <v>2</v>
      </c>
      <c r="J35" s="1"/>
      <c r="K35" s="1"/>
      <c r="L35" s="82"/>
      <c r="M35" s="83"/>
      <c r="N35" s="83"/>
      <c r="O35" s="87"/>
      <c r="P35" s="82"/>
      <c r="Q35" s="83"/>
      <c r="R35" s="87"/>
      <c r="S35" s="82"/>
      <c r="T35" s="83"/>
      <c r="U35" s="87"/>
      <c r="V35" s="85"/>
      <c r="W35" s="86"/>
      <c r="X35" s="86"/>
      <c r="Y35" s="86"/>
      <c r="Z35" s="87" t="s">
        <v>177</v>
      </c>
      <c r="AA35" s="85"/>
      <c r="AB35" s="86"/>
      <c r="AC35" s="87"/>
      <c r="AD35" s="85"/>
      <c r="AE35" s="84"/>
      <c r="AF35" s="85"/>
      <c r="AG35" s="84"/>
      <c r="AH35" s="63"/>
      <c r="AI35" s="85"/>
      <c r="AJ35" s="86"/>
      <c r="AK35" s="86"/>
      <c r="AL35" s="86"/>
      <c r="AM35" s="86"/>
      <c r="AN35" s="86"/>
      <c r="AO35" s="86"/>
      <c r="AP35" s="84"/>
      <c r="AQ35" s="85"/>
      <c r="AR35" s="86"/>
      <c r="AS35" s="83" t="s">
        <v>177</v>
      </c>
      <c r="AT35" s="83" t="s">
        <v>177</v>
      </c>
      <c r="AU35" s="86"/>
      <c r="AV35" s="390"/>
      <c r="AW35" s="85"/>
      <c r="AX35" s="83"/>
      <c r="AY35" s="83"/>
      <c r="AZ35" s="83"/>
      <c r="BA35" s="92"/>
      <c r="BB35" s="93"/>
      <c r="BC35" s="175"/>
      <c r="BD35" s="92"/>
      <c r="BE35" s="151"/>
      <c r="BF35" s="83" t="s">
        <v>177</v>
      </c>
      <c r="BG35" s="92"/>
      <c r="BH35" s="93"/>
      <c r="BI35" s="175"/>
      <c r="BJ35" s="92"/>
      <c r="BK35" s="92"/>
      <c r="BL35" s="92"/>
      <c r="BM35" s="92"/>
      <c r="BN35" s="83" t="s">
        <v>177</v>
      </c>
      <c r="BO35" s="83"/>
      <c r="BP35" s="92"/>
      <c r="BQ35" s="426"/>
      <c r="BR35" s="175"/>
      <c r="BS35" s="92"/>
      <c r="BT35" s="92"/>
      <c r="BU35" s="90"/>
      <c r="BV35" s="90"/>
      <c r="BW35" s="90"/>
      <c r="BX35" s="92"/>
      <c r="BY35" s="92"/>
      <c r="BZ35" s="93"/>
      <c r="CA35" s="63"/>
      <c r="CB35" s="89"/>
      <c r="CC35" s="90"/>
      <c r="CD35" s="90"/>
      <c r="CE35" s="90"/>
      <c r="CF35" s="83" t="s">
        <v>177</v>
      </c>
      <c r="CG35" s="90"/>
      <c r="CH35" s="90"/>
      <c r="CI35" s="190" t="s">
        <v>177</v>
      </c>
      <c r="CJ35" s="90"/>
      <c r="CK35" s="90"/>
      <c r="CL35" s="90"/>
      <c r="CM35" s="90"/>
      <c r="CN35" s="394"/>
      <c r="CO35" s="94"/>
      <c r="CP35" s="89"/>
      <c r="CQ35" s="90"/>
      <c r="CR35" s="90"/>
      <c r="CS35" s="90"/>
      <c r="CT35" s="176"/>
      <c r="CU35" s="176"/>
      <c r="CV35" s="176"/>
      <c r="CW35" s="90"/>
      <c r="CX35" s="90"/>
      <c r="CY35" s="90"/>
      <c r="CZ35" s="90"/>
      <c r="DA35" s="90"/>
      <c r="DB35" s="90"/>
      <c r="DC35" s="394"/>
    </row>
    <row r="36" spans="1:107" ht="39.75" customHeight="1">
      <c r="A36" s="325"/>
      <c r="B36" s="388"/>
      <c r="C36" s="434" t="s">
        <v>232</v>
      </c>
      <c r="D36" s="189" t="s">
        <v>233</v>
      </c>
      <c r="E36" s="173">
        <v>6</v>
      </c>
      <c r="F36" s="79">
        <f t="shared" si="7"/>
        <v>10</v>
      </c>
      <c r="G36" s="80">
        <f t="shared" si="8"/>
        <v>3</v>
      </c>
      <c r="H36" s="174">
        <f t="shared" si="9"/>
        <v>4</v>
      </c>
      <c r="I36" s="95">
        <f t="shared" si="10"/>
        <v>3</v>
      </c>
      <c r="J36" s="1"/>
      <c r="K36" s="1"/>
      <c r="L36" s="82"/>
      <c r="M36" s="83"/>
      <c r="N36" s="83"/>
      <c r="O36" s="87" t="s">
        <v>177</v>
      </c>
      <c r="P36" s="82"/>
      <c r="Q36" s="83"/>
      <c r="R36" s="87"/>
      <c r="S36" s="82"/>
      <c r="T36" s="83"/>
      <c r="U36" s="87"/>
      <c r="V36" s="85"/>
      <c r="W36" s="86"/>
      <c r="X36" s="86"/>
      <c r="Y36" s="86"/>
      <c r="Z36" s="87" t="s">
        <v>177</v>
      </c>
      <c r="AA36" s="85"/>
      <c r="AB36" s="86"/>
      <c r="AC36" s="87" t="s">
        <v>177</v>
      </c>
      <c r="AD36" s="85"/>
      <c r="AE36" s="84"/>
      <c r="AF36" s="85"/>
      <c r="AG36" s="84"/>
      <c r="AH36" s="63"/>
      <c r="AI36" s="85"/>
      <c r="AJ36" s="86"/>
      <c r="AK36" s="86"/>
      <c r="AL36" s="86"/>
      <c r="AM36" s="86"/>
      <c r="AN36" s="86"/>
      <c r="AO36" s="86"/>
      <c r="AP36" s="84"/>
      <c r="AQ36" s="85"/>
      <c r="AR36" s="86"/>
      <c r="AS36" s="83" t="s">
        <v>177</v>
      </c>
      <c r="AT36" s="83" t="s">
        <v>177</v>
      </c>
      <c r="AU36" s="86"/>
      <c r="AV36" s="390"/>
      <c r="AW36" s="85"/>
      <c r="AX36" s="83"/>
      <c r="AY36" s="83"/>
      <c r="AZ36" s="83"/>
      <c r="BA36" s="92"/>
      <c r="BB36" s="93"/>
      <c r="BC36" s="175"/>
      <c r="BD36" s="92"/>
      <c r="BE36" s="151"/>
      <c r="BF36" s="90" t="s">
        <v>177</v>
      </c>
      <c r="BG36" s="92"/>
      <c r="BH36" s="93"/>
      <c r="BI36" s="175"/>
      <c r="BJ36" s="92"/>
      <c r="BK36" s="92"/>
      <c r="BL36" s="92"/>
      <c r="BM36" s="92"/>
      <c r="BN36" s="83" t="s">
        <v>177</v>
      </c>
      <c r="BO36" s="83"/>
      <c r="BP36" s="92"/>
      <c r="BQ36" s="426"/>
      <c r="BR36" s="175"/>
      <c r="BS36" s="92"/>
      <c r="BT36" s="92"/>
      <c r="BU36" s="90"/>
      <c r="BV36" s="90"/>
      <c r="BW36" s="90"/>
      <c r="BX36" s="92"/>
      <c r="BY36" s="92"/>
      <c r="BZ36" s="93"/>
      <c r="CA36" s="63"/>
      <c r="CB36" s="89"/>
      <c r="CC36" s="90"/>
      <c r="CD36" s="90"/>
      <c r="CE36" s="90"/>
      <c r="CF36" s="83" t="s">
        <v>177</v>
      </c>
      <c r="CG36" s="90"/>
      <c r="CH36" s="83" t="s">
        <v>177</v>
      </c>
      <c r="CI36" s="90"/>
      <c r="CJ36" s="90"/>
      <c r="CK36" s="90"/>
      <c r="CL36" s="90"/>
      <c r="CM36" s="90"/>
      <c r="CN36" s="394"/>
      <c r="CO36" s="94"/>
      <c r="CP36" s="89"/>
      <c r="CQ36" s="90"/>
      <c r="CR36" s="90"/>
      <c r="CS36" s="90"/>
      <c r="CT36" s="176"/>
      <c r="CU36" s="176"/>
      <c r="CV36" s="191" t="s">
        <v>177</v>
      </c>
      <c r="CW36" s="90"/>
      <c r="CX36" s="90"/>
      <c r="CY36" s="90"/>
      <c r="CZ36" s="90"/>
      <c r="DA36" s="90"/>
      <c r="DB36" s="90"/>
      <c r="DC36" s="394"/>
    </row>
    <row r="37" spans="1:107" ht="39.75" customHeight="1">
      <c r="A37" s="325"/>
      <c r="B37" s="388"/>
      <c r="C37" s="434" t="s">
        <v>234</v>
      </c>
      <c r="D37" s="189" t="s">
        <v>235</v>
      </c>
      <c r="E37" s="173">
        <v>6</v>
      </c>
      <c r="F37" s="79">
        <f t="shared" si="7"/>
        <v>7</v>
      </c>
      <c r="G37" s="80">
        <f t="shared" si="8"/>
        <v>2</v>
      </c>
      <c r="H37" s="174">
        <f t="shared" si="9"/>
        <v>3</v>
      </c>
      <c r="I37" s="95">
        <f t="shared" si="10"/>
        <v>2</v>
      </c>
      <c r="J37" s="1"/>
      <c r="K37" s="1"/>
      <c r="L37" s="82"/>
      <c r="M37" s="83"/>
      <c r="N37" s="83"/>
      <c r="O37" s="87" t="s">
        <v>177</v>
      </c>
      <c r="P37" s="82"/>
      <c r="Q37" s="83"/>
      <c r="R37" s="87"/>
      <c r="S37" s="82"/>
      <c r="T37" s="83"/>
      <c r="U37" s="87"/>
      <c r="V37" s="85"/>
      <c r="W37" s="86"/>
      <c r="X37" s="86"/>
      <c r="Y37" s="86"/>
      <c r="Z37" s="87" t="s">
        <v>177</v>
      </c>
      <c r="AA37" s="85"/>
      <c r="AB37" s="86"/>
      <c r="AC37" s="87"/>
      <c r="AD37" s="85"/>
      <c r="AE37" s="84"/>
      <c r="AF37" s="85"/>
      <c r="AG37" s="84"/>
      <c r="AH37" s="63"/>
      <c r="AI37" s="85"/>
      <c r="AJ37" s="86"/>
      <c r="AK37" s="86"/>
      <c r="AL37" s="86"/>
      <c r="AM37" s="86"/>
      <c r="AN37" s="86"/>
      <c r="AO37" s="86"/>
      <c r="AP37" s="84"/>
      <c r="AQ37" s="85"/>
      <c r="AR37" s="86"/>
      <c r="AS37" s="83" t="s">
        <v>177</v>
      </c>
      <c r="AT37" s="83" t="s">
        <v>177</v>
      </c>
      <c r="AU37" s="86"/>
      <c r="AV37" s="390"/>
      <c r="AW37" s="85"/>
      <c r="AX37" s="83"/>
      <c r="AY37" s="83"/>
      <c r="AZ37" s="83"/>
      <c r="BA37" s="92"/>
      <c r="BB37" s="93"/>
      <c r="BC37" s="175"/>
      <c r="BD37" s="92"/>
      <c r="BE37" s="151"/>
      <c r="BF37" s="90"/>
      <c r="BG37" s="92"/>
      <c r="BH37" s="93"/>
      <c r="BI37" s="175"/>
      <c r="BJ37" s="92"/>
      <c r="BK37" s="92"/>
      <c r="BL37" s="92"/>
      <c r="BM37" s="92"/>
      <c r="BN37" s="83"/>
      <c r="BO37" s="83"/>
      <c r="BP37" s="92"/>
      <c r="BQ37" s="426"/>
      <c r="BR37" s="175"/>
      <c r="BS37" s="92"/>
      <c r="BT37" s="92"/>
      <c r="BU37" s="90"/>
      <c r="BV37" s="90"/>
      <c r="BW37" s="83" t="s">
        <v>177</v>
      </c>
      <c r="BX37" s="92"/>
      <c r="BY37" s="92"/>
      <c r="BZ37" s="93"/>
      <c r="CA37" s="63"/>
      <c r="CB37" s="89"/>
      <c r="CC37" s="90"/>
      <c r="CD37" s="90"/>
      <c r="CE37" s="90"/>
      <c r="CF37" s="83" t="s">
        <v>177</v>
      </c>
      <c r="CG37" s="83" t="s">
        <v>177</v>
      </c>
      <c r="CH37" s="90"/>
      <c r="CI37" s="90"/>
      <c r="CJ37" s="90"/>
      <c r="CK37" s="90"/>
      <c r="CL37" s="90"/>
      <c r="CM37" s="90"/>
      <c r="CN37" s="394"/>
      <c r="CO37" s="94"/>
      <c r="CP37" s="89"/>
      <c r="CQ37" s="90"/>
      <c r="CR37" s="90"/>
      <c r="CS37" s="90"/>
      <c r="CT37" s="176"/>
      <c r="CU37" s="176"/>
      <c r="CV37" s="176"/>
      <c r="CW37" s="90"/>
      <c r="CX37" s="90"/>
      <c r="CY37" s="90"/>
      <c r="CZ37" s="90"/>
      <c r="DA37" s="90"/>
      <c r="DB37" s="90"/>
      <c r="DC37" s="394"/>
    </row>
    <row r="38" spans="1:107" ht="39.75" customHeight="1">
      <c r="A38" s="325"/>
      <c r="B38" s="388"/>
      <c r="C38" s="434" t="s">
        <v>236</v>
      </c>
      <c r="D38" s="192" t="s">
        <v>237</v>
      </c>
      <c r="E38" s="173">
        <v>4</v>
      </c>
      <c r="F38" s="79">
        <f t="shared" si="7"/>
        <v>2</v>
      </c>
      <c r="G38" s="80">
        <f t="shared" si="8"/>
        <v>0</v>
      </c>
      <c r="H38" s="174">
        <f t="shared" si="9"/>
        <v>2</v>
      </c>
      <c r="I38" s="95">
        <f t="shared" si="10"/>
        <v>0</v>
      </c>
      <c r="J38" s="1"/>
      <c r="K38" s="1"/>
      <c r="L38" s="85"/>
      <c r="M38" s="86"/>
      <c r="N38" s="86"/>
      <c r="O38" s="87"/>
      <c r="P38" s="85"/>
      <c r="Q38" s="86"/>
      <c r="R38" s="86"/>
      <c r="S38" s="85"/>
      <c r="T38" s="86"/>
      <c r="U38" s="87"/>
      <c r="V38" s="85"/>
      <c r="W38" s="86"/>
      <c r="X38" s="86"/>
      <c r="Y38" s="86"/>
      <c r="Z38" s="84"/>
      <c r="AA38" s="85"/>
      <c r="AB38" s="86"/>
      <c r="AC38" s="86"/>
      <c r="AD38" s="85"/>
      <c r="AE38" s="84"/>
      <c r="AF38" s="85"/>
      <c r="AG38" s="87"/>
      <c r="AH38" s="63"/>
      <c r="AI38" s="85"/>
      <c r="AJ38" s="86"/>
      <c r="AK38" s="86"/>
      <c r="AL38" s="86"/>
      <c r="AM38" s="86"/>
      <c r="AN38" s="86"/>
      <c r="AO38" s="86"/>
      <c r="AP38" s="84"/>
      <c r="AQ38" s="85"/>
      <c r="AR38" s="86"/>
      <c r="AS38" s="83"/>
      <c r="AT38" s="86"/>
      <c r="AU38" s="86"/>
      <c r="AV38" s="390"/>
      <c r="AW38" s="85"/>
      <c r="AX38" s="83"/>
      <c r="AY38" s="86"/>
      <c r="AZ38" s="86"/>
      <c r="BA38" s="92"/>
      <c r="BB38" s="93"/>
      <c r="BC38" s="175"/>
      <c r="BD38" s="92"/>
      <c r="BE38" s="90" t="s">
        <v>177</v>
      </c>
      <c r="BF38" s="90" t="s">
        <v>177</v>
      </c>
      <c r="BG38" s="92"/>
      <c r="BH38" s="93"/>
      <c r="BI38" s="175"/>
      <c r="BJ38" s="92"/>
      <c r="BK38" s="92"/>
      <c r="BL38" s="92"/>
      <c r="BM38" s="92"/>
      <c r="BN38" s="83"/>
      <c r="BO38" s="83"/>
      <c r="BP38" s="92"/>
      <c r="BQ38" s="426"/>
      <c r="BR38" s="175"/>
      <c r="BS38" s="92"/>
      <c r="BT38" s="92"/>
      <c r="BU38" s="90"/>
      <c r="BV38" s="90"/>
      <c r="BW38" s="90"/>
      <c r="BX38" s="92"/>
      <c r="BY38" s="92"/>
      <c r="BZ38" s="93"/>
      <c r="CA38" s="63"/>
      <c r="CB38" s="89"/>
      <c r="CC38" s="90"/>
      <c r="CD38" s="90"/>
      <c r="CE38" s="90"/>
      <c r="CF38" s="90"/>
      <c r="CG38" s="90"/>
      <c r="CH38" s="90"/>
      <c r="CI38" s="90"/>
      <c r="CJ38" s="90"/>
      <c r="CK38" s="90"/>
      <c r="CL38" s="90"/>
      <c r="CM38" s="90"/>
      <c r="CN38" s="394"/>
      <c r="CO38" s="94"/>
      <c r="CP38" s="89"/>
      <c r="CQ38" s="90"/>
      <c r="CR38" s="90"/>
      <c r="CS38" s="90"/>
      <c r="CT38" s="176"/>
      <c r="CU38" s="176"/>
      <c r="CV38" s="176"/>
      <c r="CW38" s="90"/>
      <c r="CX38" s="90"/>
      <c r="CY38" s="90"/>
      <c r="CZ38" s="90"/>
      <c r="DA38" s="90"/>
      <c r="DB38" s="90"/>
      <c r="DC38" s="394"/>
    </row>
    <row r="39" spans="1:107" ht="39.75" customHeight="1">
      <c r="A39" s="325"/>
      <c r="B39" s="193"/>
      <c r="C39" s="194" t="s">
        <v>238</v>
      </c>
      <c r="D39" s="195" t="s">
        <v>239</v>
      </c>
      <c r="E39" s="435">
        <v>2</v>
      </c>
      <c r="F39" s="141">
        <f t="shared" si="7"/>
        <v>8</v>
      </c>
      <c r="G39" s="142">
        <f t="shared" si="8"/>
        <v>1</v>
      </c>
      <c r="H39" s="436">
        <f t="shared" si="9"/>
        <v>7</v>
      </c>
      <c r="I39" s="196">
        <f t="shared" si="10"/>
        <v>0</v>
      </c>
      <c r="J39" s="1"/>
      <c r="K39" s="1"/>
      <c r="L39" s="208"/>
      <c r="M39" s="209"/>
      <c r="N39" s="209"/>
      <c r="O39" s="210"/>
      <c r="P39" s="208"/>
      <c r="Q39" s="209"/>
      <c r="R39" s="210"/>
      <c r="S39" s="208"/>
      <c r="T39" s="209"/>
      <c r="U39" s="87"/>
      <c r="V39" s="208"/>
      <c r="W39" s="209"/>
      <c r="X39" s="209"/>
      <c r="Y39" s="209"/>
      <c r="Z39" s="211"/>
      <c r="AA39" s="208"/>
      <c r="AB39" s="209"/>
      <c r="AC39" s="210"/>
      <c r="AD39" s="208"/>
      <c r="AE39" s="210"/>
      <c r="AF39" s="208"/>
      <c r="AG39" s="210" t="s">
        <v>177</v>
      </c>
      <c r="AH39" s="63"/>
      <c r="AI39" s="209"/>
      <c r="AJ39" s="209"/>
      <c r="AK39" s="212" t="s">
        <v>177</v>
      </c>
      <c r="AL39" s="212" t="s">
        <v>177</v>
      </c>
      <c r="AM39" s="212"/>
      <c r="AN39" s="209"/>
      <c r="AO39" s="209"/>
      <c r="AP39" s="209"/>
      <c r="AQ39" s="208"/>
      <c r="AR39" s="209"/>
      <c r="AS39" s="212"/>
      <c r="AT39" s="212" t="s">
        <v>177</v>
      </c>
      <c r="AU39" s="209"/>
      <c r="AV39" s="211"/>
      <c r="AW39" s="208"/>
      <c r="AX39" s="209"/>
      <c r="AY39" s="212"/>
      <c r="AZ39" s="212" t="s">
        <v>177</v>
      </c>
      <c r="BA39" s="213"/>
      <c r="BB39" s="214"/>
      <c r="BC39" s="215"/>
      <c r="BD39" s="213"/>
      <c r="BE39" s="216"/>
      <c r="BF39" s="212"/>
      <c r="BG39" s="213"/>
      <c r="BH39" s="217"/>
      <c r="BI39" s="215"/>
      <c r="BJ39" s="213"/>
      <c r="BK39" s="213"/>
      <c r="BL39" s="213"/>
      <c r="BM39" s="213"/>
      <c r="BN39" s="212"/>
      <c r="BO39" s="212"/>
      <c r="BP39" s="213"/>
      <c r="BQ39" s="217"/>
      <c r="BR39" s="215"/>
      <c r="BS39" s="213"/>
      <c r="BT39" s="213"/>
      <c r="BU39" s="212" t="s">
        <v>240</v>
      </c>
      <c r="BV39" s="212" t="s">
        <v>240</v>
      </c>
      <c r="BW39" s="212" t="s">
        <v>240</v>
      </c>
      <c r="BX39" s="213"/>
      <c r="BY39" s="213"/>
      <c r="BZ39" s="217"/>
      <c r="CA39" s="63"/>
      <c r="CB39" s="218"/>
      <c r="CC39" s="219"/>
      <c r="CD39" s="219"/>
      <c r="CE39" s="219"/>
      <c r="CF39" s="219"/>
      <c r="CG39" s="219"/>
      <c r="CH39" s="219"/>
      <c r="CI39" s="219"/>
      <c r="CJ39" s="219"/>
      <c r="CK39" s="219"/>
      <c r="CL39" s="219"/>
      <c r="CM39" s="219"/>
      <c r="CN39" s="220"/>
      <c r="CO39" s="221"/>
      <c r="CP39" s="222"/>
      <c r="CQ39" s="219"/>
      <c r="CR39" s="219"/>
      <c r="CS39" s="219"/>
      <c r="CT39" s="219"/>
      <c r="CU39" s="219"/>
      <c r="CV39" s="219"/>
      <c r="CW39" s="90"/>
      <c r="CX39" s="219"/>
      <c r="CY39" s="219"/>
      <c r="CZ39" s="219"/>
      <c r="DA39" s="219"/>
      <c r="DB39" s="219"/>
      <c r="DC39" s="220"/>
    </row>
    <row r="40" spans="1:107" ht="39.75" customHeight="1">
      <c r="A40" s="325"/>
      <c r="B40" s="384">
        <v>7</v>
      </c>
      <c r="C40" s="199" t="s">
        <v>241</v>
      </c>
      <c r="D40" s="200" t="s">
        <v>242</v>
      </c>
      <c r="E40" s="201">
        <v>7</v>
      </c>
      <c r="F40" s="54">
        <f t="shared" si="7"/>
        <v>8</v>
      </c>
      <c r="G40" s="55">
        <f t="shared" si="8"/>
        <v>2</v>
      </c>
      <c r="H40" s="168">
        <f t="shared" si="9"/>
        <v>4</v>
      </c>
      <c r="I40" s="169">
        <f t="shared" si="10"/>
        <v>2</v>
      </c>
      <c r="J40" s="1"/>
      <c r="K40" s="1"/>
      <c r="L40" s="125"/>
      <c r="M40" s="120"/>
      <c r="N40" s="120"/>
      <c r="O40" s="145" t="s">
        <v>177</v>
      </c>
      <c r="P40" s="125"/>
      <c r="Q40" s="120"/>
      <c r="R40" s="145"/>
      <c r="S40" s="125"/>
      <c r="T40" s="120"/>
      <c r="U40" s="145"/>
      <c r="V40" s="60"/>
      <c r="W40" s="61"/>
      <c r="X40" s="61"/>
      <c r="Y40" s="61"/>
      <c r="Z40" s="64" t="s">
        <v>177</v>
      </c>
      <c r="AA40" s="60"/>
      <c r="AB40" s="61"/>
      <c r="AC40" s="64"/>
      <c r="AD40" s="60"/>
      <c r="AE40" s="64"/>
      <c r="AF40" s="60"/>
      <c r="AG40" s="59"/>
      <c r="AH40" s="63"/>
      <c r="AI40" s="61"/>
      <c r="AJ40" s="61"/>
      <c r="AK40" s="61"/>
      <c r="AL40" s="61"/>
      <c r="AM40" s="61"/>
      <c r="AN40" s="61"/>
      <c r="AO40" s="61"/>
      <c r="AP40" s="61"/>
      <c r="AQ40" s="60"/>
      <c r="AR40" s="61"/>
      <c r="AS40" s="58" t="s">
        <v>177</v>
      </c>
      <c r="AT40" s="58" t="s">
        <v>177</v>
      </c>
      <c r="AU40" s="61"/>
      <c r="AV40" s="59"/>
      <c r="AW40" s="125"/>
      <c r="AX40" s="120"/>
      <c r="AY40" s="123"/>
      <c r="AZ40" s="123"/>
      <c r="BA40" s="128"/>
      <c r="BB40" s="197"/>
      <c r="BC40" s="198"/>
      <c r="BD40" s="128"/>
      <c r="BE40" s="202"/>
      <c r="BF40" s="123" t="s">
        <v>177</v>
      </c>
      <c r="BG40" s="128"/>
      <c r="BH40" s="129"/>
      <c r="BI40" s="170"/>
      <c r="BJ40" s="70"/>
      <c r="BK40" s="70"/>
      <c r="BL40" s="70"/>
      <c r="BM40" s="70"/>
      <c r="BN40" s="58" t="s">
        <v>177</v>
      </c>
      <c r="BO40" s="58"/>
      <c r="BP40" s="70"/>
      <c r="BQ40" s="71"/>
      <c r="BR40" s="170"/>
      <c r="BS40" s="70"/>
      <c r="BT40" s="70"/>
      <c r="BU40" s="68"/>
      <c r="BV40" s="68"/>
      <c r="BW40" s="68"/>
      <c r="BX40" s="70"/>
      <c r="BY40" s="70"/>
      <c r="BZ40" s="71"/>
      <c r="CA40" s="63"/>
      <c r="CB40" s="67"/>
      <c r="CC40" s="68"/>
      <c r="CD40" s="68"/>
      <c r="CE40" s="68"/>
      <c r="CF40" s="58" t="s">
        <v>177</v>
      </c>
      <c r="CG40" s="68"/>
      <c r="CH40" s="68"/>
      <c r="CI40" s="68"/>
      <c r="CJ40" s="68"/>
      <c r="CK40" s="58" t="s">
        <v>177</v>
      </c>
      <c r="CL40" s="68"/>
      <c r="CM40" s="68"/>
      <c r="CN40" s="387"/>
      <c r="CO40" s="72"/>
      <c r="CP40" s="75"/>
      <c r="CQ40" s="76"/>
      <c r="CR40" s="76"/>
      <c r="CS40" s="76"/>
      <c r="CT40" s="437"/>
      <c r="CU40" s="437"/>
      <c r="CV40" s="437"/>
      <c r="CW40" s="76"/>
      <c r="CX40" s="76"/>
      <c r="CY40" s="76"/>
      <c r="CZ40" s="76"/>
      <c r="DA40" s="76"/>
      <c r="DB40" s="76"/>
      <c r="DC40" s="74"/>
    </row>
    <row r="41" spans="1:107" ht="39.75" customHeight="1">
      <c r="A41" s="325"/>
      <c r="B41" s="388"/>
      <c r="C41" s="77" t="s">
        <v>243</v>
      </c>
      <c r="D41" s="438" t="s">
        <v>244</v>
      </c>
      <c r="E41" s="203">
        <v>6</v>
      </c>
      <c r="F41" s="79">
        <f t="shared" si="7"/>
        <v>6</v>
      </c>
      <c r="G41" s="80">
        <f t="shared" si="8"/>
        <v>1</v>
      </c>
      <c r="H41" s="80">
        <f t="shared" si="9"/>
        <v>4</v>
      </c>
      <c r="I41" s="95">
        <f t="shared" si="10"/>
        <v>1</v>
      </c>
      <c r="J41" s="1"/>
      <c r="K41" s="1"/>
      <c r="L41" s="85"/>
      <c r="M41" s="86"/>
      <c r="N41" s="86"/>
      <c r="O41" s="86"/>
      <c r="P41" s="85"/>
      <c r="Q41" s="86"/>
      <c r="R41" s="86"/>
      <c r="S41" s="85"/>
      <c r="T41" s="86"/>
      <c r="U41" s="87"/>
      <c r="V41" s="85"/>
      <c r="W41" s="86"/>
      <c r="X41" s="86"/>
      <c r="Y41" s="86"/>
      <c r="Z41" s="86"/>
      <c r="AA41" s="85"/>
      <c r="AB41" s="86"/>
      <c r="AC41" s="87" t="s">
        <v>177</v>
      </c>
      <c r="AD41" s="85"/>
      <c r="AE41" s="87"/>
      <c r="AF41" s="85"/>
      <c r="AG41" s="84"/>
      <c r="AH41" s="63"/>
      <c r="AI41" s="86"/>
      <c r="AJ41" s="86"/>
      <c r="AK41" s="86"/>
      <c r="AL41" s="86"/>
      <c r="AM41" s="86"/>
      <c r="AN41" s="86"/>
      <c r="AO41" s="86"/>
      <c r="AP41" s="86"/>
      <c r="AQ41" s="85"/>
      <c r="AR41" s="86"/>
      <c r="AS41" s="83"/>
      <c r="AT41" s="83" t="s">
        <v>177</v>
      </c>
      <c r="AU41" s="86"/>
      <c r="AV41" s="84"/>
      <c r="AW41" s="85"/>
      <c r="AX41" s="86"/>
      <c r="AY41" s="83" t="s">
        <v>177</v>
      </c>
      <c r="AZ41" s="83"/>
      <c r="BA41" s="92"/>
      <c r="BB41" s="426"/>
      <c r="BC41" s="175"/>
      <c r="BD41" s="92"/>
      <c r="BE41" s="151"/>
      <c r="BF41" s="83" t="s">
        <v>177</v>
      </c>
      <c r="BG41" s="92"/>
      <c r="BH41" s="93"/>
      <c r="BI41" s="175"/>
      <c r="BJ41" s="92"/>
      <c r="BK41" s="92"/>
      <c r="BL41" s="92"/>
      <c r="BM41" s="92"/>
      <c r="BN41" s="83"/>
      <c r="BO41" s="83"/>
      <c r="BP41" s="92"/>
      <c r="BQ41" s="93"/>
      <c r="BR41" s="175"/>
      <c r="BS41" s="92"/>
      <c r="BT41" s="92"/>
      <c r="BU41" s="83" t="s">
        <v>177</v>
      </c>
      <c r="BV41" s="90"/>
      <c r="BW41" s="90"/>
      <c r="BX41" s="92"/>
      <c r="BY41" s="92"/>
      <c r="BZ41" s="93"/>
      <c r="CA41" s="63"/>
      <c r="CB41" s="89"/>
      <c r="CC41" s="90"/>
      <c r="CD41" s="90"/>
      <c r="CE41" s="90"/>
      <c r="CF41" s="83" t="s">
        <v>177</v>
      </c>
      <c r="CG41" s="90"/>
      <c r="CH41" s="90"/>
      <c r="CI41" s="90"/>
      <c r="CJ41" s="90"/>
      <c r="CK41" s="90"/>
      <c r="CL41" s="90"/>
      <c r="CM41" s="90"/>
      <c r="CN41" s="394"/>
      <c r="CO41" s="94"/>
      <c r="CP41" s="395"/>
      <c r="CQ41" s="90"/>
      <c r="CR41" s="90"/>
      <c r="CS41" s="90"/>
      <c r="CT41" s="90"/>
      <c r="CU41" s="176"/>
      <c r="CV41" s="90"/>
      <c r="CW41" s="90"/>
      <c r="CX41" s="90"/>
      <c r="CY41" s="90"/>
      <c r="CZ41" s="90"/>
      <c r="DA41" s="90"/>
      <c r="DB41" s="90"/>
      <c r="DC41" s="394"/>
    </row>
    <row r="42" spans="1:107" ht="39.75" customHeight="1">
      <c r="A42" s="325"/>
      <c r="B42" s="388"/>
      <c r="C42" s="77" t="s">
        <v>245</v>
      </c>
      <c r="D42" s="438" t="s">
        <v>246</v>
      </c>
      <c r="E42" s="203">
        <v>7</v>
      </c>
      <c r="F42" s="79">
        <f t="shared" si="7"/>
        <v>14</v>
      </c>
      <c r="G42" s="80">
        <f t="shared" si="8"/>
        <v>4</v>
      </c>
      <c r="H42" s="174">
        <f t="shared" si="9"/>
        <v>6</v>
      </c>
      <c r="I42" s="95">
        <f t="shared" si="10"/>
        <v>4</v>
      </c>
      <c r="J42" s="1"/>
      <c r="K42" s="1"/>
      <c r="L42" s="85"/>
      <c r="M42" s="86"/>
      <c r="N42" s="86"/>
      <c r="O42" s="87" t="s">
        <v>177</v>
      </c>
      <c r="P42" s="85"/>
      <c r="Q42" s="86"/>
      <c r="R42" s="87"/>
      <c r="S42" s="85"/>
      <c r="T42" s="86"/>
      <c r="U42" s="87" t="s">
        <v>177</v>
      </c>
      <c r="V42" s="85"/>
      <c r="W42" s="86"/>
      <c r="X42" s="86"/>
      <c r="Y42" s="86"/>
      <c r="Z42" s="87" t="s">
        <v>177</v>
      </c>
      <c r="AA42" s="85"/>
      <c r="AB42" s="86"/>
      <c r="AC42" s="87" t="s">
        <v>177</v>
      </c>
      <c r="AD42" s="85"/>
      <c r="AE42" s="87"/>
      <c r="AF42" s="85"/>
      <c r="AG42" s="84"/>
      <c r="AH42" s="63"/>
      <c r="AI42" s="86"/>
      <c r="AJ42" s="86"/>
      <c r="AK42" s="86"/>
      <c r="AL42" s="86"/>
      <c r="AM42" s="86"/>
      <c r="AN42" s="86"/>
      <c r="AO42" s="86"/>
      <c r="AP42" s="86"/>
      <c r="AQ42" s="85"/>
      <c r="AR42" s="86"/>
      <c r="AS42" s="83" t="s">
        <v>177</v>
      </c>
      <c r="AT42" s="83" t="s">
        <v>177</v>
      </c>
      <c r="AU42" s="86"/>
      <c r="AV42" s="84"/>
      <c r="AW42" s="85"/>
      <c r="AX42" s="86"/>
      <c r="AY42" s="83"/>
      <c r="AZ42" s="83"/>
      <c r="BA42" s="92"/>
      <c r="BB42" s="426"/>
      <c r="BC42" s="175"/>
      <c r="BD42" s="92"/>
      <c r="BE42" s="151"/>
      <c r="BF42" s="83" t="s">
        <v>177</v>
      </c>
      <c r="BG42" s="92"/>
      <c r="BH42" s="93"/>
      <c r="BI42" s="175"/>
      <c r="BJ42" s="92"/>
      <c r="BK42" s="92"/>
      <c r="BL42" s="92"/>
      <c r="BM42" s="92"/>
      <c r="BN42" s="83" t="s">
        <v>177</v>
      </c>
      <c r="BO42" s="83" t="s">
        <v>177</v>
      </c>
      <c r="BP42" s="92"/>
      <c r="BQ42" s="93"/>
      <c r="BR42" s="175"/>
      <c r="BS42" s="92"/>
      <c r="BT42" s="92"/>
      <c r="BU42" s="83" t="s">
        <v>177</v>
      </c>
      <c r="BV42" s="90"/>
      <c r="BW42" s="90"/>
      <c r="BX42" s="92"/>
      <c r="BY42" s="92"/>
      <c r="BZ42" s="93"/>
      <c r="CA42" s="63"/>
      <c r="CB42" s="89"/>
      <c r="CC42" s="90"/>
      <c r="CD42" s="90"/>
      <c r="CE42" s="90"/>
      <c r="CF42" s="83" t="s">
        <v>177</v>
      </c>
      <c r="CG42" s="90"/>
      <c r="CH42" s="90"/>
      <c r="CI42" s="90"/>
      <c r="CJ42" s="83" t="s">
        <v>177</v>
      </c>
      <c r="CK42" s="90"/>
      <c r="CL42" s="90"/>
      <c r="CM42" s="90"/>
      <c r="CN42" s="394"/>
      <c r="CO42" s="94"/>
      <c r="CP42" s="395"/>
      <c r="CQ42" s="90"/>
      <c r="CR42" s="90"/>
      <c r="CS42" s="90"/>
      <c r="CT42" s="176"/>
      <c r="CU42" s="191" t="s">
        <v>177</v>
      </c>
      <c r="CV42" s="191" t="s">
        <v>177</v>
      </c>
      <c r="CW42" s="90"/>
      <c r="CX42" s="90"/>
      <c r="CY42" s="90"/>
      <c r="CZ42" s="90"/>
      <c r="DA42" s="90"/>
      <c r="DB42" s="90"/>
      <c r="DC42" s="394"/>
    </row>
    <row r="43" spans="1:107" ht="39.75" customHeight="1">
      <c r="A43" s="325"/>
      <c r="B43" s="388"/>
      <c r="C43" s="77" t="s">
        <v>247</v>
      </c>
      <c r="D43" s="438" t="s">
        <v>248</v>
      </c>
      <c r="E43" s="203">
        <v>7</v>
      </c>
      <c r="F43" s="79">
        <f t="shared" si="7"/>
        <v>8</v>
      </c>
      <c r="G43" s="80">
        <f t="shared" si="8"/>
        <v>3</v>
      </c>
      <c r="H43" s="174">
        <f t="shared" si="9"/>
        <v>3</v>
      </c>
      <c r="I43" s="95">
        <f t="shared" si="10"/>
        <v>2</v>
      </c>
      <c r="J43" s="1"/>
      <c r="K43" s="1"/>
      <c r="L43" s="85"/>
      <c r="M43" s="86"/>
      <c r="N43" s="86"/>
      <c r="O43" s="87" t="s">
        <v>177</v>
      </c>
      <c r="P43" s="85"/>
      <c r="Q43" s="86"/>
      <c r="R43" s="87"/>
      <c r="S43" s="85"/>
      <c r="T43" s="86"/>
      <c r="U43" s="87"/>
      <c r="V43" s="85"/>
      <c r="W43" s="86"/>
      <c r="X43" s="86"/>
      <c r="Y43" s="86"/>
      <c r="Z43" s="87" t="s">
        <v>177</v>
      </c>
      <c r="AA43" s="85"/>
      <c r="AB43" s="86"/>
      <c r="AC43" s="87" t="s">
        <v>177</v>
      </c>
      <c r="AD43" s="85"/>
      <c r="AE43" s="87"/>
      <c r="AF43" s="85"/>
      <c r="AG43" s="84"/>
      <c r="AH43" s="63"/>
      <c r="AI43" s="86"/>
      <c r="AJ43" s="86"/>
      <c r="AK43" s="86"/>
      <c r="AL43" s="86"/>
      <c r="AM43" s="86"/>
      <c r="AN43" s="86"/>
      <c r="AO43" s="86"/>
      <c r="AP43" s="86"/>
      <c r="AQ43" s="85"/>
      <c r="AR43" s="86"/>
      <c r="AS43" s="83"/>
      <c r="AT43" s="83" t="s">
        <v>177</v>
      </c>
      <c r="AU43" s="86"/>
      <c r="AV43" s="84"/>
      <c r="AW43" s="85"/>
      <c r="AX43" s="86"/>
      <c r="AY43" s="83"/>
      <c r="AZ43" s="83"/>
      <c r="BA43" s="92"/>
      <c r="BB43" s="426"/>
      <c r="BC43" s="175"/>
      <c r="BD43" s="92"/>
      <c r="BE43" s="151"/>
      <c r="BF43" s="90" t="s">
        <v>177</v>
      </c>
      <c r="BG43" s="92"/>
      <c r="BH43" s="93"/>
      <c r="BI43" s="175"/>
      <c r="BJ43" s="92"/>
      <c r="BK43" s="92"/>
      <c r="BL43" s="92"/>
      <c r="BM43" s="92"/>
      <c r="BN43" s="83"/>
      <c r="BO43" s="83"/>
      <c r="BP43" s="92"/>
      <c r="BQ43" s="93"/>
      <c r="BR43" s="175"/>
      <c r="BS43" s="92"/>
      <c r="BT43" s="92"/>
      <c r="BU43" s="83" t="s">
        <v>177</v>
      </c>
      <c r="BV43" s="90"/>
      <c r="BW43" s="90"/>
      <c r="BX43" s="92"/>
      <c r="BY43" s="92"/>
      <c r="BZ43" s="93"/>
      <c r="CA43" s="63"/>
      <c r="CB43" s="89"/>
      <c r="CC43" s="90"/>
      <c r="CD43" s="90"/>
      <c r="CE43" s="90"/>
      <c r="CF43" s="83" t="s">
        <v>177</v>
      </c>
      <c r="CG43" s="83" t="s">
        <v>177</v>
      </c>
      <c r="CH43" s="90"/>
      <c r="CI43" s="90"/>
      <c r="CJ43" s="90"/>
      <c r="CK43" s="90"/>
      <c r="CL43" s="90"/>
      <c r="CM43" s="90"/>
      <c r="CN43" s="394"/>
      <c r="CO43" s="94"/>
      <c r="CP43" s="395"/>
      <c r="CQ43" s="90"/>
      <c r="CR43" s="90"/>
      <c r="CS43" s="90"/>
      <c r="CT43" s="176"/>
      <c r="CU43" s="176"/>
      <c r="CV43" s="176"/>
      <c r="CW43" s="90"/>
      <c r="CX43" s="90"/>
      <c r="CY43" s="90"/>
      <c r="CZ43" s="90"/>
      <c r="DA43" s="90"/>
      <c r="DB43" s="90"/>
      <c r="DC43" s="394"/>
    </row>
    <row r="44" spans="1:107" ht="39.75" customHeight="1">
      <c r="A44" s="325"/>
      <c r="B44" s="388"/>
      <c r="C44" s="131" t="s">
        <v>249</v>
      </c>
      <c r="D44" s="204" t="s">
        <v>250</v>
      </c>
      <c r="E44" s="203">
        <v>2</v>
      </c>
      <c r="F44" s="205">
        <f t="shared" si="7"/>
        <v>8</v>
      </c>
      <c r="G44" s="174">
        <f t="shared" si="8"/>
        <v>1</v>
      </c>
      <c r="H44" s="174">
        <f t="shared" si="9"/>
        <v>7</v>
      </c>
      <c r="I44" s="206">
        <f t="shared" si="10"/>
        <v>0</v>
      </c>
      <c r="J44" s="207"/>
      <c r="K44" s="207"/>
      <c r="L44" s="208"/>
      <c r="M44" s="209"/>
      <c r="N44" s="209"/>
      <c r="O44" s="210"/>
      <c r="P44" s="208"/>
      <c r="Q44" s="209"/>
      <c r="R44" s="210"/>
      <c r="S44" s="208"/>
      <c r="T44" s="209"/>
      <c r="U44" s="87"/>
      <c r="V44" s="208"/>
      <c r="W44" s="209"/>
      <c r="X44" s="209"/>
      <c r="Y44" s="209"/>
      <c r="Z44" s="211"/>
      <c r="AA44" s="208"/>
      <c r="AB44" s="209"/>
      <c r="AC44" s="210"/>
      <c r="AD44" s="208"/>
      <c r="AE44" s="210"/>
      <c r="AF44" s="208"/>
      <c r="AG44" s="210" t="s">
        <v>177</v>
      </c>
      <c r="AH44" s="63"/>
      <c r="AI44" s="209"/>
      <c r="AJ44" s="209"/>
      <c r="AK44" s="212" t="s">
        <v>177</v>
      </c>
      <c r="AL44" s="212" t="s">
        <v>177</v>
      </c>
      <c r="AM44" s="212"/>
      <c r="AN44" s="209"/>
      <c r="AO44" s="209"/>
      <c r="AP44" s="209"/>
      <c r="AQ44" s="208"/>
      <c r="AR44" s="209"/>
      <c r="AS44" s="212"/>
      <c r="AT44" s="212" t="s">
        <v>177</v>
      </c>
      <c r="AU44" s="209"/>
      <c r="AV44" s="211"/>
      <c r="AW44" s="208"/>
      <c r="AX44" s="209"/>
      <c r="AY44" s="212"/>
      <c r="AZ44" s="212" t="s">
        <v>177</v>
      </c>
      <c r="BA44" s="213"/>
      <c r="BB44" s="214"/>
      <c r="BC44" s="215"/>
      <c r="BD44" s="213"/>
      <c r="BE44" s="216"/>
      <c r="BF44" s="212"/>
      <c r="BG44" s="213"/>
      <c r="BH44" s="217"/>
      <c r="BI44" s="215"/>
      <c r="BJ44" s="213"/>
      <c r="BK44" s="213"/>
      <c r="BL44" s="213"/>
      <c r="BM44" s="213"/>
      <c r="BN44" s="212"/>
      <c r="BO44" s="212"/>
      <c r="BP44" s="213"/>
      <c r="BQ44" s="217"/>
      <c r="BR44" s="215"/>
      <c r="BS44" s="213"/>
      <c r="BT44" s="213"/>
      <c r="BU44" s="212" t="s">
        <v>240</v>
      </c>
      <c r="BV44" s="212" t="s">
        <v>240</v>
      </c>
      <c r="BW44" s="212" t="s">
        <v>240</v>
      </c>
      <c r="BX44" s="213"/>
      <c r="BY44" s="213"/>
      <c r="BZ44" s="217"/>
      <c r="CA44" s="63"/>
      <c r="CB44" s="218"/>
      <c r="CC44" s="219"/>
      <c r="CD44" s="219"/>
      <c r="CE44" s="219"/>
      <c r="CF44" s="219"/>
      <c r="CG44" s="219"/>
      <c r="CH44" s="219"/>
      <c r="CI44" s="219"/>
      <c r="CJ44" s="219"/>
      <c r="CK44" s="219"/>
      <c r="CL44" s="219"/>
      <c r="CM44" s="219"/>
      <c r="CN44" s="220"/>
      <c r="CO44" s="221"/>
      <c r="CP44" s="222"/>
      <c r="CQ44" s="219"/>
      <c r="CR44" s="219"/>
      <c r="CS44" s="219"/>
      <c r="CT44" s="219"/>
      <c r="CU44" s="219"/>
      <c r="CV44" s="219"/>
      <c r="CW44" s="90"/>
      <c r="CX44" s="219"/>
      <c r="CY44" s="219"/>
      <c r="CZ44" s="219"/>
      <c r="DA44" s="219"/>
      <c r="DB44" s="219"/>
      <c r="DC44" s="220"/>
    </row>
    <row r="45" spans="1:107" ht="39.75" customHeight="1">
      <c r="A45" s="325"/>
      <c r="B45" s="421">
        <v>8</v>
      </c>
      <c r="C45" s="51" t="s">
        <v>251</v>
      </c>
      <c r="D45" s="187" t="s">
        <v>252</v>
      </c>
      <c r="E45" s="223">
        <v>6</v>
      </c>
      <c r="F45" s="224">
        <f t="shared" si="7"/>
        <v>11</v>
      </c>
      <c r="G45" s="168">
        <f t="shared" si="8"/>
        <v>3</v>
      </c>
      <c r="H45" s="168">
        <f t="shared" si="9"/>
        <v>5</v>
      </c>
      <c r="I45" s="225">
        <f t="shared" si="10"/>
        <v>3</v>
      </c>
      <c r="J45" s="207"/>
      <c r="K45" s="207"/>
      <c r="L45" s="226"/>
      <c r="M45" s="227"/>
      <c r="N45" s="227"/>
      <c r="O45" s="228" t="s">
        <v>177</v>
      </c>
      <c r="P45" s="226"/>
      <c r="Q45" s="227"/>
      <c r="R45" s="229"/>
      <c r="S45" s="226"/>
      <c r="T45" s="227"/>
      <c r="U45" s="64" t="s">
        <v>177</v>
      </c>
      <c r="V45" s="226"/>
      <c r="W45" s="227"/>
      <c r="X45" s="227"/>
      <c r="Y45" s="227"/>
      <c r="Z45" s="210" t="s">
        <v>177</v>
      </c>
      <c r="AA45" s="226"/>
      <c r="AB45" s="227"/>
      <c r="AC45" s="228"/>
      <c r="AD45" s="226"/>
      <c r="AE45" s="228"/>
      <c r="AF45" s="226"/>
      <c r="AG45" s="228"/>
      <c r="AH45" s="63"/>
      <c r="AI45" s="227"/>
      <c r="AJ45" s="227"/>
      <c r="AK45" s="227"/>
      <c r="AL45" s="61"/>
      <c r="AM45" s="61"/>
      <c r="AN45" s="227"/>
      <c r="AO45" s="227"/>
      <c r="AP45" s="227"/>
      <c r="AQ45" s="226"/>
      <c r="AR45" s="227"/>
      <c r="AS45" s="230" t="s">
        <v>177</v>
      </c>
      <c r="AT45" s="230" t="s">
        <v>177</v>
      </c>
      <c r="AU45" s="227"/>
      <c r="AV45" s="229"/>
      <c r="AW45" s="226"/>
      <c r="AX45" s="227"/>
      <c r="AY45" s="230"/>
      <c r="AZ45" s="230"/>
      <c r="BA45" s="231"/>
      <c r="BB45" s="232"/>
      <c r="BC45" s="233"/>
      <c r="BD45" s="231"/>
      <c r="BE45" s="234"/>
      <c r="BF45" s="230" t="s">
        <v>177</v>
      </c>
      <c r="BG45" s="231"/>
      <c r="BH45" s="232"/>
      <c r="BI45" s="233"/>
      <c r="BJ45" s="231"/>
      <c r="BK45" s="231"/>
      <c r="BL45" s="231"/>
      <c r="BM45" s="231"/>
      <c r="BN45" s="230" t="s">
        <v>177</v>
      </c>
      <c r="BO45" s="230"/>
      <c r="BP45" s="231"/>
      <c r="BQ45" s="232"/>
      <c r="BR45" s="233"/>
      <c r="BS45" s="231"/>
      <c r="BT45" s="231"/>
      <c r="BU45" s="230" t="s">
        <v>177</v>
      </c>
      <c r="BV45" s="235"/>
      <c r="BW45" s="235"/>
      <c r="BX45" s="231"/>
      <c r="BY45" s="231"/>
      <c r="BZ45" s="232"/>
      <c r="CA45" s="63"/>
      <c r="CB45" s="236"/>
      <c r="CC45" s="235"/>
      <c r="CD45" s="235"/>
      <c r="CE45" s="235"/>
      <c r="CF45" s="230" t="s">
        <v>177</v>
      </c>
      <c r="CG45" s="235"/>
      <c r="CH45" s="235"/>
      <c r="CI45" s="235"/>
      <c r="CJ45" s="235"/>
      <c r="CK45" s="230" t="s">
        <v>177</v>
      </c>
      <c r="CL45" s="235"/>
      <c r="CM45" s="235"/>
      <c r="CN45" s="237"/>
      <c r="CO45" s="238"/>
      <c r="CP45" s="236"/>
      <c r="CQ45" s="235"/>
      <c r="CR45" s="235"/>
      <c r="CS45" s="235"/>
      <c r="CT45" s="230" t="s">
        <v>177</v>
      </c>
      <c r="CU45" s="235"/>
      <c r="CV45" s="235"/>
      <c r="CW45" s="68"/>
      <c r="CX45" s="235"/>
      <c r="CY45" s="235"/>
      <c r="CZ45" s="235"/>
      <c r="DA45" s="235"/>
      <c r="DB45" s="235"/>
      <c r="DC45" s="237"/>
    </row>
    <row r="46" spans="1:107" ht="39.75" customHeight="1">
      <c r="A46" s="325"/>
      <c r="B46" s="423"/>
      <c r="C46" s="77" t="s">
        <v>253</v>
      </c>
      <c r="D46" s="189" t="s">
        <v>254</v>
      </c>
      <c r="E46" s="439">
        <v>7</v>
      </c>
      <c r="F46" s="79">
        <f t="shared" si="7"/>
        <v>12</v>
      </c>
      <c r="G46" s="80">
        <f t="shared" si="8"/>
        <v>4</v>
      </c>
      <c r="H46" s="80">
        <f t="shared" si="9"/>
        <v>5</v>
      </c>
      <c r="I46" s="95">
        <f t="shared" si="10"/>
        <v>3</v>
      </c>
      <c r="J46" s="207"/>
      <c r="K46" s="207"/>
      <c r="L46" s="208"/>
      <c r="M46" s="209"/>
      <c r="N46" s="209"/>
      <c r="O46" s="210" t="s">
        <v>177</v>
      </c>
      <c r="P46" s="208"/>
      <c r="Q46" s="209"/>
      <c r="R46" s="211"/>
      <c r="S46" s="208"/>
      <c r="T46" s="209"/>
      <c r="U46" s="87" t="s">
        <v>177</v>
      </c>
      <c r="V46" s="208"/>
      <c r="W46" s="209"/>
      <c r="X46" s="209"/>
      <c r="Y46" s="209"/>
      <c r="Z46" s="210" t="s">
        <v>177</v>
      </c>
      <c r="AA46" s="208"/>
      <c r="AB46" s="209"/>
      <c r="AC46" s="210" t="s">
        <v>177</v>
      </c>
      <c r="AD46" s="208"/>
      <c r="AE46" s="210"/>
      <c r="AF46" s="208"/>
      <c r="AG46" s="210"/>
      <c r="AH46" s="63"/>
      <c r="AI46" s="209"/>
      <c r="AJ46" s="209"/>
      <c r="AK46" s="209"/>
      <c r="AL46" s="209"/>
      <c r="AM46" s="209"/>
      <c r="AN46" s="209"/>
      <c r="AO46" s="209"/>
      <c r="AP46" s="209"/>
      <c r="AQ46" s="208"/>
      <c r="AR46" s="209"/>
      <c r="AS46" s="212" t="s">
        <v>177</v>
      </c>
      <c r="AT46" s="212" t="s">
        <v>177</v>
      </c>
      <c r="AU46" s="209"/>
      <c r="AV46" s="211"/>
      <c r="AW46" s="208"/>
      <c r="AX46" s="209"/>
      <c r="AY46" s="212"/>
      <c r="AZ46" s="212"/>
      <c r="BA46" s="213"/>
      <c r="BB46" s="217"/>
      <c r="BC46" s="215"/>
      <c r="BD46" s="213"/>
      <c r="BE46" s="216"/>
      <c r="BF46" s="212" t="s">
        <v>177</v>
      </c>
      <c r="BG46" s="213"/>
      <c r="BH46" s="217"/>
      <c r="BI46" s="215"/>
      <c r="BJ46" s="213"/>
      <c r="BK46" s="213"/>
      <c r="BL46" s="213"/>
      <c r="BM46" s="213"/>
      <c r="BN46" s="212" t="s">
        <v>177</v>
      </c>
      <c r="BO46" s="212"/>
      <c r="BP46" s="213"/>
      <c r="BQ46" s="217"/>
      <c r="BR46" s="215"/>
      <c r="BS46" s="213"/>
      <c r="BT46" s="213"/>
      <c r="BU46" s="212" t="s">
        <v>177</v>
      </c>
      <c r="BV46" s="219"/>
      <c r="BW46" s="219"/>
      <c r="BX46" s="213"/>
      <c r="BY46" s="213"/>
      <c r="BZ46" s="217"/>
      <c r="CA46" s="63"/>
      <c r="CB46" s="218"/>
      <c r="CC46" s="219"/>
      <c r="CD46" s="219"/>
      <c r="CE46" s="219"/>
      <c r="CF46" s="212" t="s">
        <v>177</v>
      </c>
      <c r="CG46" s="219"/>
      <c r="CH46" s="219"/>
      <c r="CI46" s="219"/>
      <c r="CJ46" s="219"/>
      <c r="CK46" s="212" t="s">
        <v>177</v>
      </c>
      <c r="CL46" s="219"/>
      <c r="CM46" s="219"/>
      <c r="CN46" s="220"/>
      <c r="CO46" s="221"/>
      <c r="CP46" s="218"/>
      <c r="CQ46" s="219"/>
      <c r="CR46" s="219"/>
      <c r="CS46" s="219"/>
      <c r="CT46" s="212" t="s">
        <v>177</v>
      </c>
      <c r="CU46" s="219"/>
      <c r="CV46" s="219"/>
      <c r="CW46" s="90"/>
      <c r="CX46" s="219"/>
      <c r="CY46" s="219"/>
      <c r="CZ46" s="219"/>
      <c r="DA46" s="219"/>
      <c r="DB46" s="219"/>
      <c r="DC46" s="220"/>
    </row>
    <row r="47" spans="1:107" ht="39.75" customHeight="1">
      <c r="A47" s="325"/>
      <c r="B47" s="423"/>
      <c r="C47" s="77" t="s">
        <v>255</v>
      </c>
      <c r="D47" s="189" t="s">
        <v>256</v>
      </c>
      <c r="E47" s="439">
        <v>6</v>
      </c>
      <c r="F47" s="79">
        <f t="shared" si="7"/>
        <v>15</v>
      </c>
      <c r="G47" s="80">
        <f t="shared" si="8"/>
        <v>4</v>
      </c>
      <c r="H47" s="80">
        <f t="shared" si="9"/>
        <v>6</v>
      </c>
      <c r="I47" s="95">
        <f t="shared" si="10"/>
        <v>5</v>
      </c>
      <c r="J47" s="1"/>
      <c r="K47" s="1"/>
      <c r="L47" s="85"/>
      <c r="M47" s="86"/>
      <c r="N47" s="86"/>
      <c r="O47" s="87" t="s">
        <v>177</v>
      </c>
      <c r="P47" s="85"/>
      <c r="Q47" s="86"/>
      <c r="R47" s="84"/>
      <c r="S47" s="85"/>
      <c r="T47" s="86"/>
      <c r="U47" s="87" t="s">
        <v>177</v>
      </c>
      <c r="V47" s="85"/>
      <c r="W47" s="86"/>
      <c r="X47" s="86"/>
      <c r="Y47" s="86"/>
      <c r="Z47" s="87" t="s">
        <v>177</v>
      </c>
      <c r="AA47" s="85"/>
      <c r="AB47" s="86"/>
      <c r="AC47" s="87" t="s">
        <v>177</v>
      </c>
      <c r="AD47" s="85"/>
      <c r="AE47" s="87"/>
      <c r="AF47" s="85"/>
      <c r="AG47" s="87"/>
      <c r="AH47" s="63"/>
      <c r="AI47" s="86"/>
      <c r="AJ47" s="86"/>
      <c r="AK47" s="83"/>
      <c r="AL47" s="86"/>
      <c r="AM47" s="86"/>
      <c r="AN47" s="86"/>
      <c r="AO47" s="86"/>
      <c r="AP47" s="86"/>
      <c r="AQ47" s="85"/>
      <c r="AR47" s="86"/>
      <c r="AS47" s="83" t="s">
        <v>177</v>
      </c>
      <c r="AT47" s="83" t="s">
        <v>177</v>
      </c>
      <c r="AU47" s="86"/>
      <c r="AV47" s="84"/>
      <c r="AW47" s="85"/>
      <c r="AX47" s="86"/>
      <c r="AY47" s="83"/>
      <c r="AZ47" s="83"/>
      <c r="BA47" s="92"/>
      <c r="BB47" s="93"/>
      <c r="BC47" s="175"/>
      <c r="BD47" s="92"/>
      <c r="BE47" s="151"/>
      <c r="BF47" s="83" t="s">
        <v>177</v>
      </c>
      <c r="BG47" s="92"/>
      <c r="BH47" s="93"/>
      <c r="BI47" s="175"/>
      <c r="BJ47" s="92"/>
      <c r="BK47" s="92"/>
      <c r="BL47" s="92"/>
      <c r="BM47" s="92"/>
      <c r="BN47" s="83" t="s">
        <v>177</v>
      </c>
      <c r="BO47" s="83" t="s">
        <v>177</v>
      </c>
      <c r="BP47" s="92"/>
      <c r="BQ47" s="93"/>
      <c r="BR47" s="175"/>
      <c r="BS47" s="92"/>
      <c r="BT47" s="92"/>
      <c r="BU47" s="83" t="s">
        <v>177</v>
      </c>
      <c r="BV47" s="90"/>
      <c r="BW47" s="90"/>
      <c r="BX47" s="92"/>
      <c r="BY47" s="92"/>
      <c r="BZ47" s="93"/>
      <c r="CA47" s="63"/>
      <c r="CB47" s="89"/>
      <c r="CC47" s="90"/>
      <c r="CD47" s="90"/>
      <c r="CE47" s="90"/>
      <c r="CF47" s="83" t="s">
        <v>177</v>
      </c>
      <c r="CG47" s="83"/>
      <c r="CH47" s="83" t="s">
        <v>177</v>
      </c>
      <c r="CI47" s="90"/>
      <c r="CJ47" s="83" t="s">
        <v>177</v>
      </c>
      <c r="CK47" s="90"/>
      <c r="CL47" s="90"/>
      <c r="CM47" s="90"/>
      <c r="CN47" s="394"/>
      <c r="CO47" s="94"/>
      <c r="CP47" s="89"/>
      <c r="CQ47" s="90"/>
      <c r="CR47" s="90"/>
      <c r="CS47" s="90"/>
      <c r="CT47" s="176"/>
      <c r="CU47" s="191" t="s">
        <v>177</v>
      </c>
      <c r="CV47" s="191" t="s">
        <v>177</v>
      </c>
      <c r="CW47" s="90"/>
      <c r="CX47" s="90"/>
      <c r="CY47" s="90"/>
      <c r="CZ47" s="90"/>
      <c r="DA47" s="90"/>
      <c r="DB47" s="90"/>
      <c r="DC47" s="394"/>
    </row>
    <row r="48" spans="1:107" ht="39.75" customHeight="1">
      <c r="A48" s="325"/>
      <c r="B48" s="423"/>
      <c r="C48" s="77" t="s">
        <v>257</v>
      </c>
      <c r="D48" s="189" t="s">
        <v>258</v>
      </c>
      <c r="E48" s="439">
        <v>4</v>
      </c>
      <c r="F48" s="79">
        <f t="shared" si="7"/>
        <v>9</v>
      </c>
      <c r="G48" s="80">
        <f t="shared" si="8"/>
        <v>2</v>
      </c>
      <c r="H48" s="80">
        <f t="shared" si="9"/>
        <v>7</v>
      </c>
      <c r="I48" s="95">
        <f t="shared" si="10"/>
        <v>0</v>
      </c>
      <c r="J48" s="1"/>
      <c r="K48" s="1"/>
      <c r="L48" s="85"/>
      <c r="M48" s="86"/>
      <c r="N48" s="86"/>
      <c r="O48" s="84"/>
      <c r="P48" s="85"/>
      <c r="Q48" s="86"/>
      <c r="R48" s="84"/>
      <c r="S48" s="85"/>
      <c r="T48" s="86"/>
      <c r="U48" s="87"/>
      <c r="V48" s="85"/>
      <c r="W48" s="86"/>
      <c r="X48" s="86"/>
      <c r="Y48" s="86"/>
      <c r="Z48" s="84"/>
      <c r="AA48" s="85"/>
      <c r="AB48" s="86"/>
      <c r="AC48" s="87"/>
      <c r="AD48" s="85"/>
      <c r="AE48" s="87" t="s">
        <v>177</v>
      </c>
      <c r="AF48" s="85"/>
      <c r="AG48" s="87" t="s">
        <v>177</v>
      </c>
      <c r="AH48" s="63"/>
      <c r="AI48" s="86"/>
      <c r="AJ48" s="86"/>
      <c r="AK48" s="83"/>
      <c r="AL48" s="83" t="s">
        <v>177</v>
      </c>
      <c r="AM48" s="83" t="s">
        <v>177</v>
      </c>
      <c r="AN48" s="86"/>
      <c r="AO48" s="86"/>
      <c r="AP48" s="86"/>
      <c r="AQ48" s="85"/>
      <c r="AR48" s="86"/>
      <c r="AS48" s="83" t="s">
        <v>177</v>
      </c>
      <c r="AT48" s="83" t="s">
        <v>177</v>
      </c>
      <c r="AU48" s="86"/>
      <c r="AV48" s="84"/>
      <c r="AW48" s="85"/>
      <c r="AX48" s="86"/>
      <c r="AY48" s="83"/>
      <c r="AZ48" s="83"/>
      <c r="BA48" s="92"/>
      <c r="BB48" s="93"/>
      <c r="BC48" s="175"/>
      <c r="BD48" s="92"/>
      <c r="BE48" s="151"/>
      <c r="BF48" s="83"/>
      <c r="BG48" s="92"/>
      <c r="BH48" s="93"/>
      <c r="BI48" s="175"/>
      <c r="BJ48" s="92"/>
      <c r="BK48" s="92"/>
      <c r="BL48" s="92"/>
      <c r="BM48" s="92"/>
      <c r="BN48" s="83" t="s">
        <v>177</v>
      </c>
      <c r="BO48" s="83" t="s">
        <v>177</v>
      </c>
      <c r="BP48" s="92"/>
      <c r="BQ48" s="93"/>
      <c r="BR48" s="175"/>
      <c r="BS48" s="92"/>
      <c r="BT48" s="92"/>
      <c r="BU48" s="83" t="s">
        <v>177</v>
      </c>
      <c r="BV48" s="83"/>
      <c r="BW48" s="90"/>
      <c r="BX48" s="92"/>
      <c r="BY48" s="92"/>
      <c r="BZ48" s="93"/>
      <c r="CA48" s="63"/>
      <c r="CB48" s="89"/>
      <c r="CC48" s="90"/>
      <c r="CD48" s="90"/>
      <c r="CE48" s="90"/>
      <c r="CF48" s="90"/>
      <c r="CG48" s="90"/>
      <c r="CH48" s="90"/>
      <c r="CI48" s="90"/>
      <c r="CJ48" s="90"/>
      <c r="CK48" s="90"/>
      <c r="CL48" s="90"/>
      <c r="CM48" s="90"/>
      <c r="CN48" s="394"/>
      <c r="CO48" s="94"/>
      <c r="CP48" s="89"/>
      <c r="CQ48" s="90"/>
      <c r="CR48" s="90"/>
      <c r="CS48" s="90"/>
      <c r="CT48" s="176"/>
      <c r="CU48" s="176"/>
      <c r="CV48" s="176"/>
      <c r="CW48" s="90"/>
      <c r="CX48" s="90"/>
      <c r="CY48" s="90"/>
      <c r="CZ48" s="90"/>
      <c r="DA48" s="90"/>
      <c r="DB48" s="90"/>
      <c r="DC48" s="394"/>
    </row>
    <row r="49" spans="1:107" ht="39.75" customHeight="1">
      <c r="A49" s="325"/>
      <c r="B49" s="423"/>
      <c r="C49" s="77" t="s">
        <v>259</v>
      </c>
      <c r="D49" s="189" t="s">
        <v>260</v>
      </c>
      <c r="E49" s="203">
        <v>6</v>
      </c>
      <c r="F49" s="79">
        <f t="shared" si="7"/>
        <v>17</v>
      </c>
      <c r="G49" s="80">
        <f t="shared" si="8"/>
        <v>6</v>
      </c>
      <c r="H49" s="174">
        <f t="shared" si="9"/>
        <v>6</v>
      </c>
      <c r="I49" s="95">
        <f t="shared" si="10"/>
        <v>5</v>
      </c>
      <c r="J49" s="1"/>
      <c r="K49" s="1"/>
      <c r="L49" s="85"/>
      <c r="M49" s="86"/>
      <c r="N49" s="86"/>
      <c r="O49" s="87" t="s">
        <v>177</v>
      </c>
      <c r="P49" s="85"/>
      <c r="Q49" s="86"/>
      <c r="R49" s="87" t="s">
        <v>177</v>
      </c>
      <c r="S49" s="85"/>
      <c r="T49" s="86"/>
      <c r="U49" s="87" t="s">
        <v>177</v>
      </c>
      <c r="V49" s="85"/>
      <c r="W49" s="86"/>
      <c r="X49" s="86"/>
      <c r="Y49" s="86"/>
      <c r="Z49" s="87" t="s">
        <v>177</v>
      </c>
      <c r="AA49" s="85"/>
      <c r="AB49" s="86"/>
      <c r="AC49" s="87"/>
      <c r="AD49" s="85"/>
      <c r="AE49" s="87" t="s">
        <v>177</v>
      </c>
      <c r="AF49" s="85"/>
      <c r="AG49" s="87" t="s">
        <v>177</v>
      </c>
      <c r="AH49" s="63"/>
      <c r="AI49" s="86"/>
      <c r="AJ49" s="86"/>
      <c r="AK49" s="86"/>
      <c r="AL49" s="86"/>
      <c r="AM49" s="83" t="s">
        <v>177</v>
      </c>
      <c r="AN49" s="86"/>
      <c r="AO49" s="86"/>
      <c r="AP49" s="86"/>
      <c r="AQ49" s="85"/>
      <c r="AR49" s="86"/>
      <c r="AS49" s="83"/>
      <c r="AT49" s="83"/>
      <c r="AU49" s="86"/>
      <c r="AV49" s="84"/>
      <c r="AW49" s="85"/>
      <c r="AX49" s="86"/>
      <c r="AY49" s="83" t="s">
        <v>177</v>
      </c>
      <c r="AZ49" s="83"/>
      <c r="BA49" s="92"/>
      <c r="BB49" s="93"/>
      <c r="BC49" s="175"/>
      <c r="BD49" s="92"/>
      <c r="BE49" s="151"/>
      <c r="BF49" s="83" t="s">
        <v>177</v>
      </c>
      <c r="BG49" s="92"/>
      <c r="BH49" s="93"/>
      <c r="BI49" s="175"/>
      <c r="BJ49" s="92"/>
      <c r="BK49" s="92"/>
      <c r="BL49" s="92"/>
      <c r="BM49" s="92"/>
      <c r="BN49" s="83" t="s">
        <v>177</v>
      </c>
      <c r="BO49" s="83" t="s">
        <v>177</v>
      </c>
      <c r="BP49" s="92"/>
      <c r="BQ49" s="93"/>
      <c r="BR49" s="175"/>
      <c r="BS49" s="92"/>
      <c r="BT49" s="92"/>
      <c r="BU49" s="83" t="s">
        <v>177</v>
      </c>
      <c r="BV49" s="90"/>
      <c r="BW49" s="90"/>
      <c r="BX49" s="92"/>
      <c r="BY49" s="92"/>
      <c r="BZ49" s="93"/>
      <c r="CA49" s="63"/>
      <c r="CB49" s="89"/>
      <c r="CC49" s="90"/>
      <c r="CD49" s="90"/>
      <c r="CE49" s="90"/>
      <c r="CF49" s="90"/>
      <c r="CG49" s="90"/>
      <c r="CH49" s="90"/>
      <c r="CI49" s="90"/>
      <c r="CJ49" s="90"/>
      <c r="CK49" s="90"/>
      <c r="CL49" s="83" t="s">
        <v>177</v>
      </c>
      <c r="CM49" s="90"/>
      <c r="CN49" s="394"/>
      <c r="CO49" s="94"/>
      <c r="CP49" s="89"/>
      <c r="CQ49" s="90"/>
      <c r="CR49" s="90"/>
      <c r="CS49" s="90"/>
      <c r="CT49" s="191" t="s">
        <v>177</v>
      </c>
      <c r="CU49" s="191" t="s">
        <v>177</v>
      </c>
      <c r="CV49" s="191" t="s">
        <v>177</v>
      </c>
      <c r="CW49" s="83" t="s">
        <v>177</v>
      </c>
      <c r="CX49" s="90"/>
      <c r="CY49" s="90"/>
      <c r="CZ49" s="90"/>
      <c r="DA49" s="90"/>
      <c r="DB49" s="90"/>
      <c r="DC49" s="394"/>
    </row>
    <row r="50" spans="1:107" ht="39.75" customHeight="1">
      <c r="A50" s="325"/>
      <c r="B50" s="428"/>
      <c r="C50" s="131" t="s">
        <v>261</v>
      </c>
      <c r="D50" s="195" t="s">
        <v>262</v>
      </c>
      <c r="E50" s="440">
        <v>2</v>
      </c>
      <c r="F50" s="96">
        <f t="shared" si="7"/>
        <v>8</v>
      </c>
      <c r="G50" s="97">
        <f t="shared" si="8"/>
        <v>1</v>
      </c>
      <c r="H50" s="180">
        <f t="shared" si="9"/>
        <v>7</v>
      </c>
      <c r="I50" s="98">
        <f t="shared" si="10"/>
        <v>0</v>
      </c>
      <c r="J50" s="1"/>
      <c r="K50" s="1"/>
      <c r="L50" s="208"/>
      <c r="M50" s="209"/>
      <c r="N50" s="209"/>
      <c r="O50" s="210"/>
      <c r="P50" s="208"/>
      <c r="Q50" s="209"/>
      <c r="R50" s="210"/>
      <c r="S50" s="208"/>
      <c r="T50" s="209"/>
      <c r="U50" s="87"/>
      <c r="V50" s="208"/>
      <c r="W50" s="209"/>
      <c r="X50" s="209"/>
      <c r="Y50" s="209"/>
      <c r="Z50" s="211"/>
      <c r="AA50" s="208"/>
      <c r="AB50" s="209"/>
      <c r="AC50" s="210"/>
      <c r="AD50" s="208"/>
      <c r="AE50" s="210"/>
      <c r="AF50" s="208"/>
      <c r="AG50" s="210" t="s">
        <v>177</v>
      </c>
      <c r="AH50" s="63"/>
      <c r="AI50" s="209"/>
      <c r="AJ50" s="209"/>
      <c r="AK50" s="212" t="s">
        <v>177</v>
      </c>
      <c r="AL50" s="212" t="s">
        <v>177</v>
      </c>
      <c r="AM50" s="212"/>
      <c r="AN50" s="209"/>
      <c r="AO50" s="209"/>
      <c r="AP50" s="209"/>
      <c r="AQ50" s="208"/>
      <c r="AR50" s="209"/>
      <c r="AS50" s="212"/>
      <c r="AT50" s="212" t="s">
        <v>177</v>
      </c>
      <c r="AU50" s="209"/>
      <c r="AV50" s="211"/>
      <c r="AW50" s="208"/>
      <c r="AX50" s="209"/>
      <c r="AY50" s="212"/>
      <c r="AZ50" s="212" t="s">
        <v>177</v>
      </c>
      <c r="BA50" s="213"/>
      <c r="BB50" s="214"/>
      <c r="BC50" s="215"/>
      <c r="BD50" s="213"/>
      <c r="BE50" s="216"/>
      <c r="BF50" s="212"/>
      <c r="BG50" s="213"/>
      <c r="BH50" s="217"/>
      <c r="BI50" s="215"/>
      <c r="BJ50" s="213"/>
      <c r="BK50" s="213"/>
      <c r="BL50" s="213"/>
      <c r="BM50" s="213"/>
      <c r="BN50" s="212"/>
      <c r="BO50" s="212"/>
      <c r="BP50" s="213"/>
      <c r="BQ50" s="217"/>
      <c r="BR50" s="215"/>
      <c r="BS50" s="213"/>
      <c r="BT50" s="213"/>
      <c r="BU50" s="212" t="s">
        <v>240</v>
      </c>
      <c r="BV50" s="212" t="s">
        <v>240</v>
      </c>
      <c r="BW50" s="212" t="s">
        <v>240</v>
      </c>
      <c r="BX50" s="213"/>
      <c r="BY50" s="213"/>
      <c r="BZ50" s="217"/>
      <c r="CA50" s="63"/>
      <c r="CB50" s="218"/>
      <c r="CC50" s="219"/>
      <c r="CD50" s="219"/>
      <c r="CE50" s="219"/>
      <c r="CF50" s="219"/>
      <c r="CG50" s="219"/>
      <c r="CH50" s="219"/>
      <c r="CI50" s="219"/>
      <c r="CJ50" s="219"/>
      <c r="CK50" s="219"/>
      <c r="CL50" s="219"/>
      <c r="CM50" s="219"/>
      <c r="CN50" s="220"/>
      <c r="CO50" s="221"/>
      <c r="CP50" s="222"/>
      <c r="CQ50" s="219"/>
      <c r="CR50" s="219"/>
      <c r="CS50" s="219"/>
      <c r="CT50" s="219"/>
      <c r="CU50" s="219"/>
      <c r="CV50" s="219"/>
      <c r="CW50" s="90"/>
      <c r="CX50" s="219"/>
      <c r="CY50" s="219"/>
      <c r="CZ50" s="219"/>
      <c r="DA50" s="219"/>
      <c r="DB50" s="219"/>
      <c r="DC50" s="220"/>
    </row>
    <row r="51" spans="1:107" ht="39.75" customHeight="1">
      <c r="A51" s="4"/>
      <c r="B51" s="158"/>
      <c r="C51" s="4"/>
      <c r="D51" s="159"/>
      <c r="E51" s="160"/>
      <c r="F51" s="239"/>
      <c r="G51" s="240"/>
      <c r="H51" s="240"/>
      <c r="I51" s="241"/>
      <c r="J51" s="162"/>
      <c r="K51" s="4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242"/>
      <c r="AB51" s="243"/>
      <c r="AC51" s="43"/>
      <c r="AD51" s="43"/>
      <c r="AE51" s="43"/>
      <c r="AF51" s="43"/>
      <c r="AG51" s="43"/>
      <c r="AH51" s="6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4"/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63"/>
      <c r="CB51" s="165"/>
      <c r="CC51" s="165"/>
      <c r="CD51" s="165"/>
      <c r="CE51" s="165"/>
      <c r="CF51" s="165"/>
      <c r="CG51" s="165"/>
      <c r="CH51" s="165"/>
      <c r="CI51" s="165"/>
      <c r="CJ51" s="165"/>
      <c r="CK51" s="165"/>
      <c r="CL51" s="165"/>
      <c r="CM51" s="165"/>
      <c r="CN51" s="165"/>
      <c r="CO51" s="165"/>
      <c r="CP51" s="165"/>
      <c r="CQ51" s="165"/>
      <c r="CR51" s="165"/>
      <c r="CS51" s="165"/>
      <c r="CT51" s="165"/>
      <c r="CU51" s="165"/>
      <c r="CV51" s="165"/>
      <c r="CW51" s="165"/>
      <c r="CX51" s="165"/>
      <c r="CY51" s="165"/>
      <c r="CZ51" s="165"/>
      <c r="DA51" s="165"/>
      <c r="DB51" s="165"/>
      <c r="DC51" s="165"/>
    </row>
    <row r="52" spans="1:107" ht="39.75" customHeight="1">
      <c r="A52" s="320" t="s">
        <v>263</v>
      </c>
      <c r="B52" s="441">
        <v>9</v>
      </c>
      <c r="C52" s="244" t="s">
        <v>264</v>
      </c>
      <c r="D52" s="245" t="s">
        <v>265</v>
      </c>
      <c r="E52" s="223">
        <v>7</v>
      </c>
      <c r="F52" s="54">
        <f t="shared" ref="F52:F62" si="11">SUM(G52:I52)</f>
        <v>12</v>
      </c>
      <c r="G52" s="55">
        <f t="shared" ref="G52:G62" si="12">COUNTIF(L52:AG52,"X")</f>
        <v>0</v>
      </c>
      <c r="H52" s="168">
        <f t="shared" ref="H52:H62" si="13">COUNTIF(AI52:BZ52,"X")</f>
        <v>9</v>
      </c>
      <c r="I52" s="169">
        <f t="shared" ref="I52:I62" si="14">COUNTIF(CB52:DC52,"X")</f>
        <v>3</v>
      </c>
      <c r="J52" s="1"/>
      <c r="K52" s="1"/>
      <c r="L52" s="60"/>
      <c r="M52" s="61"/>
      <c r="N52" s="61"/>
      <c r="O52" s="59"/>
      <c r="P52" s="60"/>
      <c r="Q52" s="61"/>
      <c r="R52" s="59"/>
      <c r="S52" s="60"/>
      <c r="T52" s="61"/>
      <c r="U52" s="59"/>
      <c r="V52" s="60"/>
      <c r="W52" s="61"/>
      <c r="X52" s="61"/>
      <c r="Y52" s="61"/>
      <c r="Z52" s="59"/>
      <c r="AA52" s="60"/>
      <c r="AB52" s="61"/>
      <c r="AC52" s="59"/>
      <c r="AD52" s="60"/>
      <c r="AE52" s="59"/>
      <c r="AF52" s="60"/>
      <c r="AG52" s="59"/>
      <c r="AH52" s="63"/>
      <c r="AI52" s="61"/>
      <c r="AJ52" s="61"/>
      <c r="AK52" s="61"/>
      <c r="AL52" s="385"/>
      <c r="AM52" s="442"/>
      <c r="AN52" s="57"/>
      <c r="AO52" s="58"/>
      <c r="AP52" s="58"/>
      <c r="AQ52" s="60"/>
      <c r="AR52" s="61"/>
      <c r="AS52" s="61"/>
      <c r="AT52" s="385"/>
      <c r="AU52" s="57" t="s">
        <v>177</v>
      </c>
      <c r="AV52" s="64" t="s">
        <v>177</v>
      </c>
      <c r="AW52" s="60"/>
      <c r="AX52" s="61"/>
      <c r="AY52" s="61"/>
      <c r="AZ52" s="61"/>
      <c r="BA52" s="58" t="s">
        <v>177</v>
      </c>
      <c r="BB52" s="64" t="s">
        <v>177</v>
      </c>
      <c r="BC52" s="170"/>
      <c r="BD52" s="70"/>
      <c r="BE52" s="70"/>
      <c r="BF52" s="70"/>
      <c r="BG52" s="58" t="s">
        <v>177</v>
      </c>
      <c r="BH52" s="64" t="s">
        <v>177</v>
      </c>
      <c r="BI52" s="170"/>
      <c r="BJ52" s="70"/>
      <c r="BK52" s="70"/>
      <c r="BL52" s="70"/>
      <c r="BM52" s="70"/>
      <c r="BN52" s="70"/>
      <c r="BO52" s="70"/>
      <c r="BP52" s="58" t="s">
        <v>177</v>
      </c>
      <c r="BQ52" s="64" t="s">
        <v>177</v>
      </c>
      <c r="BR52" s="170"/>
      <c r="BS52" s="70"/>
      <c r="BT52" s="70"/>
      <c r="BU52" s="70"/>
      <c r="BV52" s="70"/>
      <c r="BW52" s="70"/>
      <c r="BX52" s="58" t="s">
        <v>177</v>
      </c>
      <c r="BY52" s="58"/>
      <c r="BZ52" s="64"/>
      <c r="CA52" s="63"/>
      <c r="CB52" s="67"/>
      <c r="CC52" s="68"/>
      <c r="CD52" s="68"/>
      <c r="CE52" s="68"/>
      <c r="CF52" s="68"/>
      <c r="CG52" s="68"/>
      <c r="CH52" s="68"/>
      <c r="CI52" s="68"/>
      <c r="CJ52" s="68"/>
      <c r="CK52" s="68"/>
      <c r="CL52" s="68"/>
      <c r="CM52" s="58" t="s">
        <v>177</v>
      </c>
      <c r="CN52" s="422"/>
      <c r="CO52" s="87" t="s">
        <v>177</v>
      </c>
      <c r="CP52" s="67"/>
      <c r="CQ52" s="68"/>
      <c r="CR52" s="68"/>
      <c r="CS52" s="68"/>
      <c r="CT52" s="68"/>
      <c r="CU52" s="68"/>
      <c r="CV52" s="68"/>
      <c r="CW52" s="68"/>
      <c r="CX52" s="68"/>
      <c r="CY52" s="68"/>
      <c r="CZ52" s="68"/>
      <c r="DA52" s="68"/>
      <c r="DB52" s="68"/>
      <c r="DC52" s="58" t="s">
        <v>177</v>
      </c>
    </row>
    <row r="53" spans="1:107" ht="39.75" customHeight="1">
      <c r="A53" s="325"/>
      <c r="B53" s="443"/>
      <c r="C53" s="246" t="s">
        <v>266</v>
      </c>
      <c r="D53" s="438" t="s">
        <v>267</v>
      </c>
      <c r="E53" s="203">
        <v>7</v>
      </c>
      <c r="F53" s="79">
        <f t="shared" si="11"/>
        <v>14</v>
      </c>
      <c r="G53" s="80">
        <f t="shared" si="12"/>
        <v>0</v>
      </c>
      <c r="H53" s="174">
        <f t="shared" si="13"/>
        <v>11</v>
      </c>
      <c r="I53" s="95">
        <f t="shared" si="14"/>
        <v>3</v>
      </c>
      <c r="J53" s="1"/>
      <c r="K53" s="1"/>
      <c r="L53" s="85"/>
      <c r="M53" s="86"/>
      <c r="N53" s="86"/>
      <c r="O53" s="84"/>
      <c r="P53" s="85"/>
      <c r="Q53" s="86"/>
      <c r="R53" s="84"/>
      <c r="S53" s="85"/>
      <c r="T53" s="86"/>
      <c r="U53" s="84"/>
      <c r="V53" s="85"/>
      <c r="W53" s="86"/>
      <c r="X53" s="86"/>
      <c r="Y53" s="86"/>
      <c r="Z53" s="84"/>
      <c r="AA53" s="85"/>
      <c r="AB53" s="86"/>
      <c r="AC53" s="84"/>
      <c r="AD53" s="85"/>
      <c r="AE53" s="84"/>
      <c r="AF53" s="85"/>
      <c r="AG53" s="84"/>
      <c r="AH53" s="63"/>
      <c r="AI53" s="86"/>
      <c r="AJ53" s="86"/>
      <c r="AK53" s="86"/>
      <c r="AL53" s="390"/>
      <c r="AM53" s="444"/>
      <c r="AN53" s="82"/>
      <c r="AO53" s="83"/>
      <c r="AP53" s="83"/>
      <c r="AQ53" s="85"/>
      <c r="AR53" s="86"/>
      <c r="AS53" s="86"/>
      <c r="AT53" s="390"/>
      <c r="AU53" s="82" t="s">
        <v>177</v>
      </c>
      <c r="AV53" s="87" t="s">
        <v>177</v>
      </c>
      <c r="AW53" s="85"/>
      <c r="AX53" s="86"/>
      <c r="AY53" s="86"/>
      <c r="AZ53" s="86"/>
      <c r="BA53" s="83" t="s">
        <v>177</v>
      </c>
      <c r="BB53" s="87" t="s">
        <v>177</v>
      </c>
      <c r="BC53" s="175"/>
      <c r="BD53" s="92"/>
      <c r="BE53" s="92"/>
      <c r="BF53" s="92"/>
      <c r="BG53" s="83" t="s">
        <v>177</v>
      </c>
      <c r="BH53" s="87" t="s">
        <v>177</v>
      </c>
      <c r="BI53" s="175"/>
      <c r="BJ53" s="92"/>
      <c r="BK53" s="92"/>
      <c r="BL53" s="92"/>
      <c r="BM53" s="92"/>
      <c r="BN53" s="92"/>
      <c r="BO53" s="92"/>
      <c r="BP53" s="83" t="s">
        <v>177</v>
      </c>
      <c r="BQ53" s="87" t="s">
        <v>177</v>
      </c>
      <c r="BR53" s="175"/>
      <c r="BS53" s="92"/>
      <c r="BT53" s="92"/>
      <c r="BU53" s="92"/>
      <c r="BV53" s="92"/>
      <c r="BW53" s="92"/>
      <c r="BX53" s="83" t="s">
        <v>177</v>
      </c>
      <c r="BY53" s="83" t="s">
        <v>177</v>
      </c>
      <c r="BZ53" s="87" t="s">
        <v>177</v>
      </c>
      <c r="CA53" s="63"/>
      <c r="CB53" s="89"/>
      <c r="CC53" s="90"/>
      <c r="CD53" s="90"/>
      <c r="CE53" s="90"/>
      <c r="CF53" s="90"/>
      <c r="CG53" s="90"/>
      <c r="CH53" s="90"/>
      <c r="CI53" s="90"/>
      <c r="CJ53" s="90"/>
      <c r="CK53" s="90"/>
      <c r="CL53" s="90"/>
      <c r="CM53" s="83" t="s">
        <v>177</v>
      </c>
      <c r="CN53" s="394"/>
      <c r="CO53" s="87" t="s">
        <v>177</v>
      </c>
      <c r="CP53" s="89"/>
      <c r="CQ53" s="90"/>
      <c r="CR53" s="90"/>
      <c r="CS53" s="90"/>
      <c r="CT53" s="90"/>
      <c r="CU53" s="90"/>
      <c r="CV53" s="90"/>
      <c r="CW53" s="90"/>
      <c r="CX53" s="83"/>
      <c r="CY53" s="83"/>
      <c r="CZ53" s="83"/>
      <c r="DA53" s="83"/>
      <c r="DB53" s="83"/>
      <c r="DC53" s="83" t="s">
        <v>177</v>
      </c>
    </row>
    <row r="54" spans="1:107" ht="39.75" customHeight="1">
      <c r="A54" s="325"/>
      <c r="B54" s="443"/>
      <c r="C54" s="246" t="s">
        <v>268</v>
      </c>
      <c r="D54" s="247" t="s">
        <v>269</v>
      </c>
      <c r="E54" s="203"/>
      <c r="F54" s="79">
        <f t="shared" si="11"/>
        <v>0</v>
      </c>
      <c r="G54" s="80">
        <f t="shared" si="12"/>
        <v>0</v>
      </c>
      <c r="H54" s="174">
        <f t="shared" si="13"/>
        <v>0</v>
      </c>
      <c r="I54" s="95">
        <f t="shared" si="14"/>
        <v>0</v>
      </c>
      <c r="J54" s="1"/>
      <c r="K54" s="1"/>
      <c r="L54" s="85"/>
      <c r="M54" s="86"/>
      <c r="N54" s="86"/>
      <c r="O54" s="84"/>
      <c r="P54" s="85"/>
      <c r="Q54" s="86"/>
      <c r="R54" s="84"/>
      <c r="S54" s="85"/>
      <c r="T54" s="86"/>
      <c r="U54" s="84"/>
      <c r="V54" s="85"/>
      <c r="W54" s="86"/>
      <c r="X54" s="86"/>
      <c r="Y54" s="86"/>
      <c r="Z54" s="84"/>
      <c r="AA54" s="85"/>
      <c r="AB54" s="86"/>
      <c r="AC54" s="84"/>
      <c r="AD54" s="85"/>
      <c r="AE54" s="84"/>
      <c r="AF54" s="85"/>
      <c r="AG54" s="84"/>
      <c r="AH54" s="63"/>
      <c r="AI54" s="86"/>
      <c r="AJ54" s="86"/>
      <c r="AK54" s="86"/>
      <c r="AL54" s="390"/>
      <c r="AM54" s="444"/>
      <c r="AN54" s="82"/>
      <c r="AO54" s="83"/>
      <c r="AP54" s="83"/>
      <c r="AQ54" s="85"/>
      <c r="AR54" s="86"/>
      <c r="AS54" s="86"/>
      <c r="AT54" s="390"/>
      <c r="AU54" s="82"/>
      <c r="AV54" s="87"/>
      <c r="AW54" s="85"/>
      <c r="AX54" s="86"/>
      <c r="AY54" s="86"/>
      <c r="AZ54" s="86"/>
      <c r="BA54" s="90"/>
      <c r="BB54" s="94"/>
      <c r="BC54" s="175"/>
      <c r="BD54" s="92"/>
      <c r="BE54" s="92"/>
      <c r="BF54" s="92"/>
      <c r="BG54" s="90"/>
      <c r="BH54" s="94"/>
      <c r="BI54" s="175"/>
      <c r="BJ54" s="92"/>
      <c r="BK54" s="92"/>
      <c r="BL54" s="92"/>
      <c r="BM54" s="92"/>
      <c r="BN54" s="92"/>
      <c r="BO54" s="92"/>
      <c r="BP54" s="90"/>
      <c r="BQ54" s="94"/>
      <c r="BR54" s="175"/>
      <c r="BS54" s="92"/>
      <c r="BT54" s="92"/>
      <c r="BU54" s="92"/>
      <c r="BV54" s="92"/>
      <c r="BW54" s="92"/>
      <c r="BX54" s="90"/>
      <c r="BY54" s="90"/>
      <c r="BZ54" s="94"/>
      <c r="CA54" s="63"/>
      <c r="CB54" s="89"/>
      <c r="CC54" s="90"/>
      <c r="CD54" s="90"/>
      <c r="CE54" s="90"/>
      <c r="CF54" s="90"/>
      <c r="CG54" s="90"/>
      <c r="CH54" s="90"/>
      <c r="CI54" s="90"/>
      <c r="CJ54" s="90"/>
      <c r="CK54" s="90"/>
      <c r="CL54" s="90"/>
      <c r="CM54" s="90"/>
      <c r="CN54" s="394"/>
      <c r="CO54" s="94"/>
      <c r="CP54" s="89"/>
      <c r="CQ54" s="90"/>
      <c r="CR54" s="90"/>
      <c r="CS54" s="90"/>
      <c r="CT54" s="90"/>
      <c r="CU54" s="90"/>
      <c r="CV54" s="90"/>
      <c r="CW54" s="90"/>
      <c r="CX54" s="83"/>
      <c r="CY54" s="83"/>
      <c r="CZ54" s="83"/>
      <c r="DA54" s="83"/>
      <c r="DB54" s="83"/>
      <c r="DC54" s="90"/>
    </row>
    <row r="55" spans="1:107" ht="39.75" customHeight="1">
      <c r="A55" s="325"/>
      <c r="B55" s="443"/>
      <c r="C55" s="246" t="s">
        <v>270</v>
      </c>
      <c r="D55" s="438" t="s">
        <v>271</v>
      </c>
      <c r="E55" s="203"/>
      <c r="F55" s="79">
        <f t="shared" si="11"/>
        <v>14</v>
      </c>
      <c r="G55" s="80">
        <f t="shared" si="12"/>
        <v>0</v>
      </c>
      <c r="H55" s="174">
        <f t="shared" si="13"/>
        <v>11</v>
      </c>
      <c r="I55" s="95">
        <f t="shared" si="14"/>
        <v>3</v>
      </c>
      <c r="J55" s="1"/>
      <c r="K55" s="1"/>
      <c r="L55" s="85"/>
      <c r="M55" s="86"/>
      <c r="N55" s="86"/>
      <c r="O55" s="84"/>
      <c r="P55" s="85"/>
      <c r="Q55" s="86"/>
      <c r="R55" s="84"/>
      <c r="S55" s="85"/>
      <c r="T55" s="86"/>
      <c r="U55" s="84"/>
      <c r="V55" s="85"/>
      <c r="W55" s="86"/>
      <c r="X55" s="86"/>
      <c r="Y55" s="86"/>
      <c r="Z55" s="84"/>
      <c r="AA55" s="85"/>
      <c r="AB55" s="86"/>
      <c r="AC55" s="84"/>
      <c r="AD55" s="85"/>
      <c r="AE55" s="84"/>
      <c r="AF55" s="85"/>
      <c r="AG55" s="84"/>
      <c r="AH55" s="63"/>
      <c r="AI55" s="86"/>
      <c r="AJ55" s="86"/>
      <c r="AK55" s="86"/>
      <c r="AL55" s="390"/>
      <c r="AM55" s="444"/>
      <c r="AN55" s="82"/>
      <c r="AO55" s="83"/>
      <c r="AP55" s="83"/>
      <c r="AQ55" s="85"/>
      <c r="AR55" s="86"/>
      <c r="AS55" s="86"/>
      <c r="AT55" s="390"/>
      <c r="AU55" s="82" t="s">
        <v>177</v>
      </c>
      <c r="AV55" s="87" t="s">
        <v>177</v>
      </c>
      <c r="AW55" s="85"/>
      <c r="AX55" s="86"/>
      <c r="AY55" s="86"/>
      <c r="AZ55" s="86"/>
      <c r="BA55" s="83" t="s">
        <v>177</v>
      </c>
      <c r="BB55" s="87" t="s">
        <v>177</v>
      </c>
      <c r="BC55" s="175"/>
      <c r="BD55" s="92"/>
      <c r="BE55" s="92"/>
      <c r="BF55" s="92"/>
      <c r="BG55" s="83" t="s">
        <v>177</v>
      </c>
      <c r="BH55" s="87" t="s">
        <v>177</v>
      </c>
      <c r="BI55" s="175"/>
      <c r="BJ55" s="92"/>
      <c r="BK55" s="92"/>
      <c r="BL55" s="92"/>
      <c r="BM55" s="92"/>
      <c r="BN55" s="92"/>
      <c r="BO55" s="92"/>
      <c r="BP55" s="83" t="s">
        <v>177</v>
      </c>
      <c r="BQ55" s="87" t="s">
        <v>177</v>
      </c>
      <c r="BR55" s="175"/>
      <c r="BS55" s="92"/>
      <c r="BT55" s="92"/>
      <c r="BU55" s="92"/>
      <c r="BV55" s="92"/>
      <c r="BW55" s="92"/>
      <c r="BX55" s="83" t="s">
        <v>177</v>
      </c>
      <c r="BY55" s="83" t="s">
        <v>177</v>
      </c>
      <c r="BZ55" s="87" t="s">
        <v>177</v>
      </c>
      <c r="CA55" s="63"/>
      <c r="CB55" s="89"/>
      <c r="CC55" s="90"/>
      <c r="CD55" s="90"/>
      <c r="CE55" s="90"/>
      <c r="CF55" s="90"/>
      <c r="CG55" s="90"/>
      <c r="CH55" s="90"/>
      <c r="CI55" s="90"/>
      <c r="CJ55" s="90"/>
      <c r="CK55" s="90"/>
      <c r="CL55" s="90"/>
      <c r="CM55" s="83" t="s">
        <v>177</v>
      </c>
      <c r="CN55" s="396" t="s">
        <v>177</v>
      </c>
      <c r="CO55" s="94"/>
      <c r="CP55" s="89"/>
      <c r="CQ55" s="90"/>
      <c r="CR55" s="90"/>
      <c r="CS55" s="90"/>
      <c r="CT55" s="90"/>
      <c r="CU55" s="90"/>
      <c r="CV55" s="90"/>
      <c r="CW55" s="90"/>
      <c r="CX55" s="83"/>
      <c r="CY55" s="83"/>
      <c r="CZ55" s="83"/>
      <c r="DA55" s="83"/>
      <c r="DB55" s="83" t="s">
        <v>177</v>
      </c>
      <c r="DC55" s="90"/>
    </row>
    <row r="56" spans="1:107" ht="39.75" customHeight="1">
      <c r="A56" s="325"/>
      <c r="B56" s="443"/>
      <c r="C56" s="248" t="s">
        <v>272</v>
      </c>
      <c r="D56" s="204" t="s">
        <v>273</v>
      </c>
      <c r="E56" s="203"/>
      <c r="F56" s="79">
        <f t="shared" si="11"/>
        <v>0</v>
      </c>
      <c r="G56" s="80">
        <f t="shared" si="12"/>
        <v>0</v>
      </c>
      <c r="H56" s="174">
        <f t="shared" si="13"/>
        <v>0</v>
      </c>
      <c r="I56" s="95">
        <f t="shared" si="14"/>
        <v>0</v>
      </c>
      <c r="J56" s="1"/>
      <c r="K56" s="1"/>
      <c r="L56" s="85"/>
      <c r="M56" s="86"/>
      <c r="N56" s="86"/>
      <c r="O56" s="84"/>
      <c r="P56" s="85"/>
      <c r="Q56" s="86"/>
      <c r="R56" s="84"/>
      <c r="S56" s="85"/>
      <c r="T56" s="86"/>
      <c r="U56" s="84"/>
      <c r="V56" s="85"/>
      <c r="W56" s="86"/>
      <c r="X56" s="86"/>
      <c r="Y56" s="86"/>
      <c r="Z56" s="84"/>
      <c r="AA56" s="85"/>
      <c r="AB56" s="86"/>
      <c r="AC56" s="84"/>
      <c r="AD56" s="85"/>
      <c r="AE56" s="84"/>
      <c r="AF56" s="85"/>
      <c r="AG56" s="84"/>
      <c r="AH56" s="63"/>
      <c r="AI56" s="86"/>
      <c r="AJ56" s="86"/>
      <c r="AK56" s="86"/>
      <c r="AL56" s="390"/>
      <c r="AM56" s="444"/>
      <c r="AN56" s="82"/>
      <c r="AO56" s="83"/>
      <c r="AP56" s="83"/>
      <c r="AQ56" s="85"/>
      <c r="AR56" s="86"/>
      <c r="AS56" s="86"/>
      <c r="AT56" s="390"/>
      <c r="AU56" s="82"/>
      <c r="AV56" s="87"/>
      <c r="AW56" s="85"/>
      <c r="AX56" s="86"/>
      <c r="AY56" s="86"/>
      <c r="AZ56" s="86"/>
      <c r="BA56" s="83"/>
      <c r="BB56" s="87"/>
      <c r="BC56" s="175"/>
      <c r="BD56" s="92"/>
      <c r="BE56" s="92"/>
      <c r="BF56" s="92"/>
      <c r="BG56" s="90"/>
      <c r="BH56" s="94"/>
      <c r="BI56" s="175"/>
      <c r="BJ56" s="92"/>
      <c r="BK56" s="92"/>
      <c r="BL56" s="92"/>
      <c r="BM56" s="92"/>
      <c r="BN56" s="92"/>
      <c r="BO56" s="92"/>
      <c r="BP56" s="83"/>
      <c r="BQ56" s="87"/>
      <c r="BR56" s="175"/>
      <c r="BS56" s="92"/>
      <c r="BT56" s="92"/>
      <c r="BU56" s="92"/>
      <c r="BV56" s="92"/>
      <c r="BW56" s="92"/>
      <c r="BX56" s="83"/>
      <c r="BY56" s="83"/>
      <c r="BZ56" s="87"/>
      <c r="CA56" s="63"/>
      <c r="CB56" s="89"/>
      <c r="CC56" s="90"/>
      <c r="CD56" s="90"/>
      <c r="CE56" s="90"/>
      <c r="CF56" s="90"/>
      <c r="CG56" s="90"/>
      <c r="CH56" s="90"/>
      <c r="CI56" s="90"/>
      <c r="CJ56" s="90"/>
      <c r="CK56" s="90"/>
      <c r="CL56" s="90"/>
      <c r="CM56" s="90"/>
      <c r="CN56" s="394"/>
      <c r="CO56" s="94"/>
      <c r="CP56" s="89"/>
      <c r="CQ56" s="90"/>
      <c r="CR56" s="90"/>
      <c r="CS56" s="90"/>
      <c r="CT56" s="90"/>
      <c r="CU56" s="90"/>
      <c r="CV56" s="90"/>
      <c r="CW56" s="90"/>
      <c r="CX56" s="83"/>
      <c r="CY56" s="83"/>
      <c r="CZ56" s="83"/>
      <c r="DA56" s="83"/>
      <c r="DB56" s="83"/>
      <c r="DC56" s="90"/>
    </row>
    <row r="57" spans="1:107" ht="39.75" customHeight="1">
      <c r="A57" s="325"/>
      <c r="B57" s="421">
        <v>10</v>
      </c>
      <c r="C57" s="249" t="s">
        <v>274</v>
      </c>
      <c r="D57" s="250" t="s">
        <v>275</v>
      </c>
      <c r="E57" s="223"/>
      <c r="F57" s="54">
        <f t="shared" si="11"/>
        <v>22</v>
      </c>
      <c r="G57" s="55">
        <f t="shared" si="12"/>
        <v>0</v>
      </c>
      <c r="H57" s="168">
        <f t="shared" si="13"/>
        <v>13</v>
      </c>
      <c r="I57" s="169">
        <f t="shared" si="14"/>
        <v>9</v>
      </c>
      <c r="J57" s="1"/>
      <c r="K57" s="1"/>
      <c r="L57" s="60"/>
      <c r="M57" s="61"/>
      <c r="N57" s="61"/>
      <c r="O57" s="385"/>
      <c r="P57" s="60"/>
      <c r="Q57" s="61"/>
      <c r="R57" s="385"/>
      <c r="S57" s="60"/>
      <c r="T57" s="61"/>
      <c r="U57" s="385"/>
      <c r="V57" s="60"/>
      <c r="W57" s="61"/>
      <c r="X57" s="61"/>
      <c r="Y57" s="61"/>
      <c r="Z57" s="385"/>
      <c r="AA57" s="60"/>
      <c r="AB57" s="61"/>
      <c r="AC57" s="385"/>
      <c r="AD57" s="60"/>
      <c r="AE57" s="385"/>
      <c r="AF57" s="60"/>
      <c r="AG57" s="59"/>
      <c r="AH57" s="63"/>
      <c r="AI57" s="61"/>
      <c r="AJ57" s="61"/>
      <c r="AK57" s="61"/>
      <c r="AL57" s="385"/>
      <c r="AM57" s="442"/>
      <c r="AN57" s="57" t="s">
        <v>177</v>
      </c>
      <c r="AO57" s="58" t="s">
        <v>177</v>
      </c>
      <c r="AP57" s="58" t="s">
        <v>177</v>
      </c>
      <c r="AQ57" s="60"/>
      <c r="AR57" s="61"/>
      <c r="AS57" s="61"/>
      <c r="AT57" s="385"/>
      <c r="AU57" s="57" t="s">
        <v>177</v>
      </c>
      <c r="AV57" s="64" t="s">
        <v>177</v>
      </c>
      <c r="AW57" s="60"/>
      <c r="AX57" s="61"/>
      <c r="AY57" s="61"/>
      <c r="AZ57" s="61"/>
      <c r="BA57" s="58" t="s">
        <v>177</v>
      </c>
      <c r="BB57" s="422" t="s">
        <v>177</v>
      </c>
      <c r="BC57" s="170"/>
      <c r="BD57" s="70"/>
      <c r="BE57" s="70"/>
      <c r="BF57" s="70"/>
      <c r="BG57" s="58" t="s">
        <v>177</v>
      </c>
      <c r="BH57" s="64"/>
      <c r="BI57" s="170"/>
      <c r="BJ57" s="70"/>
      <c r="BK57" s="70"/>
      <c r="BL57" s="70"/>
      <c r="BM57" s="70"/>
      <c r="BN57" s="70"/>
      <c r="BO57" s="70"/>
      <c r="BP57" s="58" t="s">
        <v>177</v>
      </c>
      <c r="BQ57" s="64" t="s">
        <v>177</v>
      </c>
      <c r="BR57" s="170"/>
      <c r="BS57" s="70"/>
      <c r="BT57" s="70"/>
      <c r="BU57" s="70"/>
      <c r="BV57" s="70"/>
      <c r="BW57" s="70"/>
      <c r="BX57" s="58" t="s">
        <v>177</v>
      </c>
      <c r="BY57" s="58" t="s">
        <v>177</v>
      </c>
      <c r="BZ57" s="64" t="s">
        <v>177</v>
      </c>
      <c r="CA57" s="63"/>
      <c r="CB57" s="147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58" t="s">
        <v>177</v>
      </c>
      <c r="CN57" s="58" t="s">
        <v>177</v>
      </c>
      <c r="CO57" s="58" t="s">
        <v>177</v>
      </c>
      <c r="CP57" s="67"/>
      <c r="CQ57" s="68"/>
      <c r="CR57" s="68"/>
      <c r="CS57" s="68"/>
      <c r="CT57" s="68"/>
      <c r="CU57" s="68"/>
      <c r="CV57" s="68"/>
      <c r="CW57" s="68"/>
      <c r="CX57" s="58" t="s">
        <v>177</v>
      </c>
      <c r="CY57" s="58" t="s">
        <v>177</v>
      </c>
      <c r="CZ57" s="58" t="s">
        <v>177</v>
      </c>
      <c r="DA57" s="58" t="s">
        <v>177</v>
      </c>
      <c r="DB57" s="58" t="s">
        <v>177</v>
      </c>
      <c r="DC57" s="58" t="s">
        <v>177</v>
      </c>
    </row>
    <row r="58" spans="1:107" ht="39.75" customHeight="1">
      <c r="A58" s="325"/>
      <c r="B58" s="423"/>
      <c r="C58" s="251" t="s">
        <v>276</v>
      </c>
      <c r="D58" s="252" t="s">
        <v>273</v>
      </c>
      <c r="E58" s="203"/>
      <c r="F58" s="79">
        <f t="shared" si="11"/>
        <v>0</v>
      </c>
      <c r="G58" s="80">
        <f t="shared" si="12"/>
        <v>0</v>
      </c>
      <c r="H58" s="174">
        <f t="shared" si="13"/>
        <v>0</v>
      </c>
      <c r="I58" s="95">
        <f t="shared" si="14"/>
        <v>0</v>
      </c>
      <c r="J58" s="1"/>
      <c r="K58" s="1"/>
      <c r="L58" s="85"/>
      <c r="M58" s="86"/>
      <c r="N58" s="86"/>
      <c r="O58" s="390"/>
      <c r="P58" s="85"/>
      <c r="Q58" s="86"/>
      <c r="R58" s="390"/>
      <c r="S58" s="85"/>
      <c r="T58" s="86"/>
      <c r="U58" s="390"/>
      <c r="V58" s="85"/>
      <c r="W58" s="86"/>
      <c r="X58" s="86"/>
      <c r="Y58" s="86"/>
      <c r="Z58" s="390"/>
      <c r="AA58" s="85"/>
      <c r="AB58" s="86"/>
      <c r="AC58" s="390"/>
      <c r="AD58" s="85"/>
      <c r="AE58" s="390"/>
      <c r="AF58" s="85"/>
      <c r="AG58" s="84"/>
      <c r="AH58" s="63"/>
      <c r="AI58" s="86"/>
      <c r="AJ58" s="86"/>
      <c r="AK58" s="86"/>
      <c r="AL58" s="390"/>
      <c r="AM58" s="444"/>
      <c r="AN58" s="82"/>
      <c r="AO58" s="83"/>
      <c r="AP58" s="83"/>
      <c r="AQ58" s="85"/>
      <c r="AR58" s="86"/>
      <c r="AS58" s="86"/>
      <c r="AT58" s="390"/>
      <c r="AU58" s="82"/>
      <c r="AV58" s="87"/>
      <c r="AW58" s="85"/>
      <c r="AX58" s="86"/>
      <c r="AY58" s="86"/>
      <c r="AZ58" s="86"/>
      <c r="BA58" s="83"/>
      <c r="BB58" s="396"/>
      <c r="BC58" s="175"/>
      <c r="BD58" s="92"/>
      <c r="BE58" s="92"/>
      <c r="BF58" s="92"/>
      <c r="BG58" s="83"/>
      <c r="BH58" s="87"/>
      <c r="BI58" s="175"/>
      <c r="BJ58" s="92"/>
      <c r="BK58" s="92"/>
      <c r="BL58" s="92"/>
      <c r="BM58" s="92"/>
      <c r="BN58" s="92"/>
      <c r="BO58" s="92"/>
      <c r="BP58" s="90"/>
      <c r="BQ58" s="94"/>
      <c r="BR58" s="175"/>
      <c r="BS58" s="92"/>
      <c r="BT58" s="92"/>
      <c r="BU58" s="92"/>
      <c r="BV58" s="92"/>
      <c r="BW58" s="92"/>
      <c r="BX58" s="90"/>
      <c r="BY58" s="90"/>
      <c r="BZ58" s="94"/>
      <c r="CA58" s="63"/>
      <c r="CB58" s="89"/>
      <c r="CC58" s="90"/>
      <c r="CD58" s="90"/>
      <c r="CE58" s="90"/>
      <c r="CF58" s="90"/>
      <c r="CG58" s="90"/>
      <c r="CH58" s="90"/>
      <c r="CI58" s="90"/>
      <c r="CJ58" s="90"/>
      <c r="CK58" s="90"/>
      <c r="CL58" s="90"/>
      <c r="CM58" s="90"/>
      <c r="CN58" s="394"/>
      <c r="CO58" s="394"/>
      <c r="CP58" s="89"/>
      <c r="CQ58" s="90"/>
      <c r="CR58" s="90"/>
      <c r="CS58" s="90"/>
      <c r="CT58" s="90"/>
      <c r="CU58" s="90"/>
      <c r="CV58" s="90"/>
      <c r="CW58" s="90"/>
      <c r="CX58" s="83"/>
      <c r="CY58" s="83"/>
      <c r="CZ58" s="83"/>
      <c r="DA58" s="83"/>
      <c r="DB58" s="83"/>
      <c r="DC58" s="83"/>
    </row>
    <row r="59" spans="1:107" ht="39.75" customHeight="1">
      <c r="A59" s="325"/>
      <c r="B59" s="423"/>
      <c r="C59" s="251" t="s">
        <v>277</v>
      </c>
      <c r="D59" s="252" t="s">
        <v>273</v>
      </c>
      <c r="E59" s="203"/>
      <c r="F59" s="79">
        <f t="shared" si="11"/>
        <v>0</v>
      </c>
      <c r="G59" s="80">
        <f t="shared" si="12"/>
        <v>0</v>
      </c>
      <c r="H59" s="174">
        <f t="shared" si="13"/>
        <v>0</v>
      </c>
      <c r="I59" s="95">
        <f t="shared" si="14"/>
        <v>0</v>
      </c>
      <c r="J59" s="1"/>
      <c r="K59" s="1"/>
      <c r="L59" s="85"/>
      <c r="M59" s="86"/>
      <c r="N59" s="86"/>
      <c r="O59" s="390"/>
      <c r="P59" s="85"/>
      <c r="Q59" s="86"/>
      <c r="R59" s="390"/>
      <c r="S59" s="85"/>
      <c r="T59" s="86"/>
      <c r="U59" s="390"/>
      <c r="V59" s="85"/>
      <c r="W59" s="86"/>
      <c r="X59" s="86"/>
      <c r="Y59" s="86"/>
      <c r="Z59" s="390"/>
      <c r="AA59" s="85"/>
      <c r="AB59" s="86"/>
      <c r="AC59" s="390"/>
      <c r="AD59" s="85"/>
      <c r="AE59" s="390"/>
      <c r="AF59" s="85"/>
      <c r="AG59" s="84"/>
      <c r="AH59" s="63"/>
      <c r="AI59" s="86"/>
      <c r="AJ59" s="86"/>
      <c r="AK59" s="86"/>
      <c r="AL59" s="390"/>
      <c r="AM59" s="444"/>
      <c r="AN59" s="82"/>
      <c r="AO59" s="83"/>
      <c r="AP59" s="83"/>
      <c r="AQ59" s="85"/>
      <c r="AR59" s="86"/>
      <c r="AS59" s="86"/>
      <c r="AT59" s="390"/>
      <c r="AU59" s="82"/>
      <c r="AV59" s="87"/>
      <c r="AW59" s="85"/>
      <c r="AX59" s="86"/>
      <c r="AY59" s="86"/>
      <c r="AZ59" s="86"/>
      <c r="BA59" s="83"/>
      <c r="BB59" s="396"/>
      <c r="BC59" s="175"/>
      <c r="BD59" s="92"/>
      <c r="BE59" s="92"/>
      <c r="BF59" s="92"/>
      <c r="BG59" s="83"/>
      <c r="BH59" s="87"/>
      <c r="BI59" s="175"/>
      <c r="BJ59" s="92"/>
      <c r="BK59" s="92"/>
      <c r="BL59" s="92"/>
      <c r="BM59" s="92"/>
      <c r="BN59" s="92"/>
      <c r="BO59" s="92"/>
      <c r="BP59" s="90"/>
      <c r="BQ59" s="94"/>
      <c r="BR59" s="175"/>
      <c r="BS59" s="92"/>
      <c r="BT59" s="92"/>
      <c r="BU59" s="92"/>
      <c r="BV59" s="92"/>
      <c r="BW59" s="92"/>
      <c r="BX59" s="90"/>
      <c r="BY59" s="90"/>
      <c r="BZ59" s="94"/>
      <c r="CA59" s="63"/>
      <c r="CB59" s="89"/>
      <c r="CC59" s="90"/>
      <c r="CD59" s="90"/>
      <c r="CE59" s="90"/>
      <c r="CF59" s="90"/>
      <c r="CG59" s="90"/>
      <c r="CH59" s="90"/>
      <c r="CI59" s="90"/>
      <c r="CJ59" s="90"/>
      <c r="CK59" s="90"/>
      <c r="CL59" s="90"/>
      <c r="CM59" s="90"/>
      <c r="CN59" s="394"/>
      <c r="CO59" s="394"/>
      <c r="CP59" s="89"/>
      <c r="CQ59" s="90"/>
      <c r="CR59" s="90"/>
      <c r="CS59" s="90"/>
      <c r="CT59" s="90"/>
      <c r="CU59" s="90"/>
      <c r="CV59" s="90"/>
      <c r="CW59" s="90"/>
      <c r="CX59" s="83"/>
      <c r="CY59" s="83"/>
      <c r="CZ59" s="83"/>
      <c r="DA59" s="83"/>
      <c r="DB59" s="83"/>
      <c r="DC59" s="83"/>
    </row>
    <row r="60" spans="1:107" ht="39.75" customHeight="1">
      <c r="A60" s="325"/>
      <c r="B60" s="423"/>
      <c r="C60" s="253" t="s">
        <v>278</v>
      </c>
      <c r="D60" s="254" t="s">
        <v>273</v>
      </c>
      <c r="E60" s="203"/>
      <c r="F60" s="79">
        <f t="shared" si="11"/>
        <v>0</v>
      </c>
      <c r="G60" s="80">
        <f t="shared" si="12"/>
        <v>0</v>
      </c>
      <c r="H60" s="174">
        <f t="shared" si="13"/>
        <v>0</v>
      </c>
      <c r="I60" s="95">
        <f t="shared" si="14"/>
        <v>0</v>
      </c>
      <c r="J60" s="1"/>
      <c r="K60" s="1"/>
      <c r="L60" s="85"/>
      <c r="M60" s="86"/>
      <c r="N60" s="86"/>
      <c r="O60" s="390"/>
      <c r="P60" s="85"/>
      <c r="Q60" s="86"/>
      <c r="R60" s="390"/>
      <c r="S60" s="85"/>
      <c r="T60" s="86"/>
      <c r="U60" s="390"/>
      <c r="V60" s="85"/>
      <c r="W60" s="86"/>
      <c r="X60" s="86"/>
      <c r="Y60" s="86"/>
      <c r="Z60" s="390"/>
      <c r="AA60" s="85"/>
      <c r="AB60" s="86"/>
      <c r="AC60" s="390"/>
      <c r="AD60" s="85"/>
      <c r="AE60" s="390"/>
      <c r="AF60" s="85"/>
      <c r="AG60" s="84"/>
      <c r="AH60" s="63"/>
      <c r="AI60" s="86"/>
      <c r="AJ60" s="86"/>
      <c r="AK60" s="86"/>
      <c r="AL60" s="390"/>
      <c r="AM60" s="444"/>
      <c r="AN60" s="82"/>
      <c r="AO60" s="83"/>
      <c r="AP60" s="83"/>
      <c r="AQ60" s="85"/>
      <c r="AR60" s="86"/>
      <c r="AS60" s="86"/>
      <c r="AT60" s="390"/>
      <c r="AU60" s="82"/>
      <c r="AV60" s="87"/>
      <c r="AW60" s="85"/>
      <c r="AX60" s="86"/>
      <c r="AY60" s="86"/>
      <c r="AZ60" s="86"/>
      <c r="BA60" s="83"/>
      <c r="BB60" s="396"/>
      <c r="BC60" s="175"/>
      <c r="BD60" s="92"/>
      <c r="BE60" s="92"/>
      <c r="BF60" s="92"/>
      <c r="BG60" s="83"/>
      <c r="BH60" s="87"/>
      <c r="BI60" s="175"/>
      <c r="BJ60" s="92"/>
      <c r="BK60" s="92"/>
      <c r="BL60" s="92"/>
      <c r="BM60" s="92"/>
      <c r="BN60" s="92"/>
      <c r="BO60" s="92"/>
      <c r="BP60" s="90"/>
      <c r="BQ60" s="94"/>
      <c r="BR60" s="175"/>
      <c r="BS60" s="92"/>
      <c r="BT60" s="92"/>
      <c r="BU60" s="92"/>
      <c r="BV60" s="92"/>
      <c r="BW60" s="92"/>
      <c r="BX60" s="90"/>
      <c r="BY60" s="90"/>
      <c r="BZ60" s="94"/>
      <c r="CA60" s="63"/>
      <c r="CB60" s="89"/>
      <c r="CC60" s="90"/>
      <c r="CD60" s="90"/>
      <c r="CE60" s="90"/>
      <c r="CF60" s="90"/>
      <c r="CG60" s="90"/>
      <c r="CH60" s="90"/>
      <c r="CI60" s="90"/>
      <c r="CJ60" s="90"/>
      <c r="CK60" s="90"/>
      <c r="CL60" s="90"/>
      <c r="CM60" s="90"/>
      <c r="CN60" s="394"/>
      <c r="CO60" s="394"/>
      <c r="CP60" s="89"/>
      <c r="CQ60" s="90"/>
      <c r="CR60" s="90"/>
      <c r="CS60" s="90"/>
      <c r="CT60" s="90"/>
      <c r="CU60" s="90"/>
      <c r="CV60" s="90"/>
      <c r="CW60" s="90"/>
      <c r="CX60" s="83"/>
      <c r="CY60" s="83"/>
      <c r="CZ60" s="83"/>
      <c r="DA60" s="83"/>
      <c r="DB60" s="83"/>
      <c r="DC60" s="83"/>
    </row>
    <row r="61" spans="1:107" ht="39.75" customHeight="1">
      <c r="A61" s="325"/>
      <c r="B61" s="421">
        <v>11</v>
      </c>
      <c r="C61" s="255" t="s">
        <v>279</v>
      </c>
      <c r="D61" s="256" t="s">
        <v>280</v>
      </c>
      <c r="E61" s="201"/>
      <c r="F61" s="141">
        <f t="shared" si="11"/>
        <v>22</v>
      </c>
      <c r="G61" s="142">
        <f t="shared" si="12"/>
        <v>0</v>
      </c>
      <c r="H61" s="436">
        <f t="shared" si="13"/>
        <v>13</v>
      </c>
      <c r="I61" s="196">
        <f t="shared" si="14"/>
        <v>9</v>
      </c>
      <c r="J61" s="1"/>
      <c r="K61" s="1"/>
      <c r="L61" s="60"/>
      <c r="M61" s="61"/>
      <c r="N61" s="61"/>
      <c r="O61" s="385"/>
      <c r="P61" s="60"/>
      <c r="Q61" s="61"/>
      <c r="R61" s="385"/>
      <c r="S61" s="60"/>
      <c r="T61" s="61"/>
      <c r="U61" s="385"/>
      <c r="V61" s="60"/>
      <c r="W61" s="61"/>
      <c r="X61" s="61"/>
      <c r="Y61" s="61"/>
      <c r="Z61" s="385"/>
      <c r="AA61" s="60"/>
      <c r="AB61" s="61"/>
      <c r="AC61" s="385"/>
      <c r="AD61" s="60"/>
      <c r="AE61" s="385"/>
      <c r="AF61" s="60"/>
      <c r="AG61" s="59"/>
      <c r="AH61" s="63"/>
      <c r="AI61" s="120"/>
      <c r="AJ61" s="120"/>
      <c r="AK61" s="120"/>
      <c r="AL61" s="124"/>
      <c r="AM61" s="257"/>
      <c r="AN61" s="57" t="s">
        <v>177</v>
      </c>
      <c r="AO61" s="58" t="s">
        <v>177</v>
      </c>
      <c r="AP61" s="58" t="s">
        <v>177</v>
      </c>
      <c r="AQ61" s="60"/>
      <c r="AR61" s="61"/>
      <c r="AS61" s="61"/>
      <c r="AT61" s="385"/>
      <c r="AU61" s="57" t="s">
        <v>177</v>
      </c>
      <c r="AV61" s="64" t="s">
        <v>177</v>
      </c>
      <c r="AW61" s="60"/>
      <c r="AX61" s="61"/>
      <c r="AY61" s="61"/>
      <c r="AZ61" s="61"/>
      <c r="BA61" s="58" t="s">
        <v>177</v>
      </c>
      <c r="BB61" s="422" t="s">
        <v>177</v>
      </c>
      <c r="BC61" s="170"/>
      <c r="BD61" s="70"/>
      <c r="BE61" s="70"/>
      <c r="BF61" s="70"/>
      <c r="BG61" s="58" t="s">
        <v>177</v>
      </c>
      <c r="BH61" s="64"/>
      <c r="BI61" s="170"/>
      <c r="BJ61" s="70"/>
      <c r="BK61" s="70"/>
      <c r="BL61" s="70"/>
      <c r="BM61" s="70"/>
      <c r="BN61" s="70"/>
      <c r="BO61" s="70"/>
      <c r="BP61" s="58" t="s">
        <v>177</v>
      </c>
      <c r="BQ61" s="64" t="s">
        <v>177</v>
      </c>
      <c r="BR61" s="170"/>
      <c r="BS61" s="70"/>
      <c r="BT61" s="70"/>
      <c r="BU61" s="70"/>
      <c r="BV61" s="70"/>
      <c r="BW61" s="70"/>
      <c r="BX61" s="58" t="s">
        <v>177</v>
      </c>
      <c r="BY61" s="58" t="s">
        <v>177</v>
      </c>
      <c r="BZ61" s="64" t="s">
        <v>177</v>
      </c>
      <c r="CA61" s="63"/>
      <c r="CB61" s="147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58" t="s">
        <v>177</v>
      </c>
      <c r="CN61" s="58" t="s">
        <v>177</v>
      </c>
      <c r="CO61" s="58" t="s">
        <v>177</v>
      </c>
      <c r="CP61" s="67"/>
      <c r="CQ61" s="68"/>
      <c r="CR61" s="68"/>
      <c r="CS61" s="68"/>
      <c r="CT61" s="68"/>
      <c r="CU61" s="68"/>
      <c r="CV61" s="68"/>
      <c r="CW61" s="68"/>
      <c r="CX61" s="58" t="s">
        <v>177</v>
      </c>
      <c r="CY61" s="58" t="s">
        <v>177</v>
      </c>
      <c r="CZ61" s="58" t="s">
        <v>177</v>
      </c>
      <c r="DA61" s="58" t="s">
        <v>177</v>
      </c>
      <c r="DB61" s="58" t="s">
        <v>177</v>
      </c>
      <c r="DC61" s="58" t="s">
        <v>177</v>
      </c>
    </row>
    <row r="62" spans="1:107" ht="39.75" customHeight="1">
      <c r="A62" s="325"/>
      <c r="B62" s="428"/>
      <c r="C62" s="248" t="s">
        <v>281</v>
      </c>
      <c r="D62" s="254" t="s">
        <v>282</v>
      </c>
      <c r="E62" s="203"/>
      <c r="F62" s="79">
        <f t="shared" si="11"/>
        <v>14</v>
      </c>
      <c r="G62" s="80">
        <f t="shared" si="12"/>
        <v>0</v>
      </c>
      <c r="H62" s="174">
        <f t="shared" si="13"/>
        <v>13</v>
      </c>
      <c r="I62" s="95">
        <f t="shared" si="14"/>
        <v>1</v>
      </c>
      <c r="J62" s="1"/>
      <c r="K62" s="1"/>
      <c r="L62" s="85"/>
      <c r="M62" s="86"/>
      <c r="N62" s="86"/>
      <c r="O62" s="390"/>
      <c r="P62" s="85"/>
      <c r="Q62" s="86"/>
      <c r="R62" s="390"/>
      <c r="S62" s="85"/>
      <c r="T62" s="86"/>
      <c r="U62" s="390"/>
      <c r="V62" s="85"/>
      <c r="W62" s="86"/>
      <c r="X62" s="86"/>
      <c r="Y62" s="86"/>
      <c r="Z62" s="390"/>
      <c r="AA62" s="85"/>
      <c r="AB62" s="86"/>
      <c r="AC62" s="390"/>
      <c r="AD62" s="85"/>
      <c r="AE62" s="390"/>
      <c r="AF62" s="85"/>
      <c r="AG62" s="84"/>
      <c r="AH62" s="63"/>
      <c r="AI62" s="120"/>
      <c r="AJ62" s="120"/>
      <c r="AK62" s="120"/>
      <c r="AL62" s="124"/>
      <c r="AM62" s="257"/>
      <c r="AN62" s="57" t="s">
        <v>177</v>
      </c>
      <c r="AO62" s="58" t="s">
        <v>177</v>
      </c>
      <c r="AP62" s="58" t="s">
        <v>177</v>
      </c>
      <c r="AQ62" s="60"/>
      <c r="AR62" s="61"/>
      <c r="AS62" s="61"/>
      <c r="AT62" s="385"/>
      <c r="AU62" s="57" t="s">
        <v>177</v>
      </c>
      <c r="AV62" s="64" t="s">
        <v>177</v>
      </c>
      <c r="AW62" s="60"/>
      <c r="AX62" s="61"/>
      <c r="AY62" s="61"/>
      <c r="AZ62" s="61"/>
      <c r="BA62" s="58" t="s">
        <v>177</v>
      </c>
      <c r="BB62" s="422" t="s">
        <v>177</v>
      </c>
      <c r="BC62" s="170"/>
      <c r="BD62" s="70"/>
      <c r="BE62" s="70"/>
      <c r="BF62" s="70"/>
      <c r="BG62" s="58" t="s">
        <v>177</v>
      </c>
      <c r="BH62" s="64"/>
      <c r="BI62" s="170"/>
      <c r="BJ62" s="70"/>
      <c r="BK62" s="70"/>
      <c r="BL62" s="70"/>
      <c r="BM62" s="70"/>
      <c r="BN62" s="70"/>
      <c r="BO62" s="70"/>
      <c r="BP62" s="58" t="s">
        <v>177</v>
      </c>
      <c r="BQ62" s="64" t="s">
        <v>177</v>
      </c>
      <c r="BR62" s="170"/>
      <c r="BS62" s="70"/>
      <c r="BT62" s="70"/>
      <c r="BU62" s="70"/>
      <c r="BV62" s="70"/>
      <c r="BW62" s="70"/>
      <c r="BX62" s="58" t="s">
        <v>177</v>
      </c>
      <c r="BY62" s="58" t="s">
        <v>177</v>
      </c>
      <c r="BZ62" s="64" t="s">
        <v>177</v>
      </c>
      <c r="CA62" s="63"/>
      <c r="CB62" s="147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58" t="s">
        <v>177</v>
      </c>
      <c r="CN62" s="394"/>
      <c r="CO62" s="394"/>
      <c r="CP62" s="89"/>
      <c r="CQ62" s="90"/>
      <c r="CR62" s="90"/>
      <c r="CS62" s="90"/>
      <c r="CT62" s="90"/>
      <c r="CU62" s="90"/>
      <c r="CV62" s="90"/>
      <c r="CW62" s="90"/>
      <c r="CX62" s="90"/>
      <c r="CY62" s="90"/>
      <c r="CZ62" s="90"/>
      <c r="DA62" s="90"/>
      <c r="DB62" s="90"/>
      <c r="DC62" s="90"/>
    </row>
    <row r="63" spans="1:107" ht="39.75" customHeight="1">
      <c r="A63" s="1"/>
      <c r="B63" s="2"/>
      <c r="C63" s="1"/>
      <c r="D63" s="1"/>
      <c r="E63" s="3"/>
      <c r="F63" s="1"/>
      <c r="G63" s="1"/>
      <c r="H63" s="1"/>
      <c r="I63" s="1"/>
      <c r="J63" s="1"/>
      <c r="K63" s="1"/>
      <c r="L63" s="258"/>
      <c r="M63" s="258"/>
      <c r="N63" s="258"/>
      <c r="O63" s="258"/>
      <c r="P63" s="258"/>
      <c r="Q63" s="258"/>
      <c r="R63" s="258"/>
      <c r="S63" s="258"/>
      <c r="T63" s="258"/>
      <c r="U63" s="258"/>
      <c r="V63" s="258"/>
      <c r="W63" s="258"/>
      <c r="X63" s="258"/>
      <c r="Y63" s="258"/>
      <c r="Z63" s="258"/>
      <c r="AA63" s="258"/>
      <c r="AB63" s="258"/>
      <c r="AC63" s="258"/>
      <c r="AD63" s="258"/>
      <c r="AE63" s="258"/>
      <c r="AF63" s="258"/>
      <c r="AG63" s="258"/>
      <c r="AH63" s="258"/>
      <c r="AI63" s="258"/>
      <c r="AJ63" s="258"/>
      <c r="AK63" s="258"/>
      <c r="AL63" s="258"/>
      <c r="AM63" s="258"/>
      <c r="AN63" s="259"/>
      <c r="AO63" s="259"/>
      <c r="AP63" s="259"/>
      <c r="AQ63" s="258"/>
      <c r="AR63" s="258"/>
      <c r="AS63" s="258"/>
      <c r="AT63" s="258"/>
      <c r="AU63" s="258"/>
      <c r="AV63" s="258"/>
      <c r="AW63" s="258"/>
      <c r="AX63" s="258"/>
      <c r="AY63" s="258"/>
      <c r="AZ63" s="258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63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ht="18.75" customHeight="1">
      <c r="A64" s="1"/>
      <c r="B64" s="445" t="s">
        <v>283</v>
      </c>
      <c r="C64" s="345"/>
      <c r="D64" s="345"/>
      <c r="E64" s="345"/>
      <c r="F64" s="345"/>
      <c r="G64" s="345"/>
      <c r="H64" s="345"/>
      <c r="I64" s="34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4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ht="23.25" customHeight="1">
      <c r="A65" s="1"/>
      <c r="B65" s="406"/>
      <c r="C65" s="446"/>
      <c r="D65" s="446"/>
      <c r="E65" s="446"/>
      <c r="F65" s="446"/>
      <c r="G65" s="446"/>
      <c r="H65" s="446"/>
      <c r="I65" s="44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4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ht="23.25" customHeight="1">
      <c r="A66" s="1"/>
      <c r="B66" s="2"/>
      <c r="C66" s="1"/>
      <c r="D66" s="1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4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ht="23.25" customHeight="1">
      <c r="A67" s="1"/>
      <c r="B67" s="2"/>
      <c r="C67" s="1"/>
      <c r="D67" s="1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4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ht="23.25" customHeight="1">
      <c r="A68" s="1"/>
      <c r="B68" s="2"/>
      <c r="C68" s="1"/>
      <c r="D68" s="1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4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ht="23.25" customHeight="1">
      <c r="A69" s="1"/>
      <c r="B69" s="2"/>
      <c r="C69" s="1"/>
      <c r="D69" s="1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4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ht="23.25" customHeight="1">
      <c r="A70" s="1"/>
      <c r="B70" s="2"/>
      <c r="C70" s="1"/>
      <c r="D70" s="1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4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ht="23.25" customHeight="1">
      <c r="A71" s="1"/>
      <c r="B71" s="2"/>
      <c r="C71" s="1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4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ht="23.25" customHeight="1">
      <c r="A72" s="1"/>
      <c r="B72" s="2"/>
      <c r="C72" s="1"/>
      <c r="D72" s="1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4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ht="23.25" customHeight="1">
      <c r="A73" s="1"/>
      <c r="B73" s="2"/>
      <c r="C73" s="1"/>
      <c r="D73" s="1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4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ht="23.25" customHeight="1">
      <c r="A74" s="1"/>
      <c r="B74" s="2"/>
      <c r="C74" s="1"/>
      <c r="D74" s="1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4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ht="23.25" customHeight="1">
      <c r="A75" s="1"/>
      <c r="B75" s="2"/>
      <c r="C75" s="1"/>
      <c r="D75" s="1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4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ht="23.25" customHeight="1">
      <c r="A76" s="1"/>
      <c r="B76" s="2"/>
      <c r="C76" s="1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4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ht="23.25" customHeight="1">
      <c r="A77" s="1"/>
      <c r="B77" s="2"/>
      <c r="C77" s="1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4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ht="23.25" customHeight="1">
      <c r="A78" s="1"/>
      <c r="B78" s="2"/>
      <c r="C78" s="1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4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ht="23.25" customHeight="1">
      <c r="A79" s="1"/>
      <c r="B79" s="2"/>
      <c r="C79" s="1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4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ht="23.25" customHeight="1">
      <c r="A80" s="1"/>
      <c r="B80" s="2"/>
      <c r="C80" s="1"/>
      <c r="D80" s="1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4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ht="23.25" customHeight="1">
      <c r="A81" s="1"/>
      <c r="B81" s="2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4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ht="23.25" customHeight="1">
      <c r="A82" s="1"/>
      <c r="B82" s="2"/>
      <c r="C82" s="1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4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ht="23.25" customHeight="1">
      <c r="A83" s="1"/>
      <c r="B83" s="2"/>
      <c r="C83" s="1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4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ht="23.25" customHeight="1">
      <c r="A84" s="1"/>
      <c r="B84" s="2"/>
      <c r="C84" s="1"/>
      <c r="D84" s="1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4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ht="23.25" customHeight="1">
      <c r="A85" s="1"/>
      <c r="B85" s="2"/>
      <c r="C85" s="1"/>
      <c r="D85" s="1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4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ht="23.25" customHeight="1">
      <c r="A86" s="1"/>
      <c r="B86" s="2"/>
      <c r="C86" s="1"/>
      <c r="D86" s="1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4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ht="23.25" customHeight="1">
      <c r="A87" s="1"/>
      <c r="B87" s="2"/>
      <c r="C87" s="1"/>
      <c r="D87" s="1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4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ht="23.25" customHeight="1">
      <c r="A88" s="1"/>
      <c r="B88" s="2"/>
      <c r="C88" s="1"/>
      <c r="D88" s="1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4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ht="23.25" customHeight="1">
      <c r="A89" s="1"/>
      <c r="B89" s="2"/>
      <c r="C89" s="1"/>
      <c r="D89" s="1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4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ht="23.25" customHeight="1">
      <c r="A90" s="1"/>
      <c r="B90" s="2"/>
      <c r="C90" s="1"/>
      <c r="D90" s="1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4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ht="23.25" customHeight="1">
      <c r="A91" s="1"/>
      <c r="B91" s="2"/>
      <c r="C91" s="1"/>
      <c r="D91" s="1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4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ht="23.25" customHeight="1">
      <c r="A92" s="1"/>
      <c r="B92" s="2"/>
      <c r="C92" s="1"/>
      <c r="D92" s="1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4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23.25" customHeight="1">
      <c r="A93" s="1"/>
      <c r="B93" s="2"/>
      <c r="C93" s="1"/>
      <c r="D93" s="1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4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23.25" customHeight="1">
      <c r="A94" s="1"/>
      <c r="B94" s="2"/>
      <c r="C94" s="1"/>
      <c r="D94" s="1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4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23.25" customHeight="1">
      <c r="A95" s="1"/>
      <c r="B95" s="2"/>
      <c r="C95" s="1"/>
      <c r="D95" s="1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4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23.25" customHeight="1">
      <c r="A96" s="1"/>
      <c r="B96" s="2"/>
      <c r="C96" s="1"/>
      <c r="D96" s="1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4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ht="23.25" customHeight="1">
      <c r="A97" s="1"/>
      <c r="B97" s="2"/>
      <c r="C97" s="1"/>
      <c r="D97" s="1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4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ht="23.25" customHeight="1">
      <c r="A98" s="1"/>
      <c r="B98" s="2"/>
      <c r="C98" s="1"/>
      <c r="D98" s="1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4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23.25" customHeight="1">
      <c r="A99" s="1"/>
      <c r="B99" s="2"/>
      <c r="C99" s="1"/>
      <c r="D99" s="1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4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ht="23.25" customHeight="1">
      <c r="A100" s="1"/>
      <c r="B100" s="2"/>
      <c r="C100" s="1"/>
      <c r="D100" s="1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4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ht="23.25" customHeight="1">
      <c r="A101" s="1"/>
      <c r="B101" s="2"/>
      <c r="C101" s="1"/>
      <c r="D101" s="1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4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ht="23.25" customHeight="1">
      <c r="A102" s="1"/>
      <c r="B102" s="2"/>
      <c r="C102" s="1"/>
      <c r="D102" s="1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ht="23.25" customHeight="1">
      <c r="A103" s="1"/>
      <c r="B103" s="2"/>
      <c r="C103" s="1"/>
      <c r="D103" s="1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4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ht="23.25" customHeight="1">
      <c r="A104" s="1"/>
      <c r="B104" s="2"/>
      <c r="C104" s="1"/>
      <c r="D104" s="1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4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ht="23.25" customHeight="1">
      <c r="A105" s="1"/>
      <c r="B105" s="2"/>
      <c r="C105" s="1"/>
      <c r="D105" s="1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4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ht="23.25" customHeight="1">
      <c r="A106" s="1"/>
      <c r="B106" s="2"/>
      <c r="C106" s="1"/>
      <c r="D106" s="1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4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ht="23.25" customHeight="1">
      <c r="A107" s="1"/>
      <c r="B107" s="2"/>
      <c r="C107" s="1"/>
      <c r="D107" s="1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4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ht="23.25" customHeight="1">
      <c r="A108" s="1"/>
      <c r="B108" s="2"/>
      <c r="C108" s="1"/>
      <c r="D108" s="1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4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ht="23.25" customHeight="1">
      <c r="A109" s="1"/>
      <c r="B109" s="2"/>
      <c r="C109" s="1"/>
      <c r="D109" s="1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4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ht="23.25" customHeight="1">
      <c r="A110" s="1"/>
      <c r="B110" s="2"/>
      <c r="C110" s="1"/>
      <c r="D110" s="1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4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ht="23.25" customHeight="1">
      <c r="A111" s="1"/>
      <c r="B111" s="2"/>
      <c r="C111" s="1"/>
      <c r="D111" s="1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4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ht="23.25" customHeight="1">
      <c r="A112" s="1"/>
      <c r="B112" s="2"/>
      <c r="C112" s="1"/>
      <c r="D112" s="1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4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ht="23.25" customHeight="1">
      <c r="A113" s="1"/>
      <c r="B113" s="2"/>
      <c r="C113" s="1"/>
      <c r="D113" s="1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4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ht="23.25" customHeight="1">
      <c r="A114" s="1"/>
      <c r="B114" s="2"/>
      <c r="C114" s="1"/>
      <c r="D114" s="1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4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ht="23.25" customHeight="1">
      <c r="A115" s="1"/>
      <c r="B115" s="2"/>
      <c r="C115" s="1"/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4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ht="23.25" customHeight="1">
      <c r="A116" s="1"/>
      <c r="B116" s="2"/>
      <c r="C116" s="1"/>
      <c r="D116" s="1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ht="23.25" customHeight="1">
      <c r="A117" s="1"/>
      <c r="B117" s="2"/>
      <c r="C117" s="1"/>
      <c r="D117" s="1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ht="23.25" customHeight="1">
      <c r="A118" s="1"/>
      <c r="B118" s="2"/>
      <c r="C118" s="1"/>
      <c r="D118" s="1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ht="23.25" customHeight="1">
      <c r="A119" s="1"/>
      <c r="B119" s="2"/>
      <c r="C119" s="1"/>
      <c r="D119" s="1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4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ht="23.25" customHeight="1">
      <c r="A120" s="1"/>
      <c r="B120" s="2"/>
      <c r="C120" s="1"/>
      <c r="D120" s="1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4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ht="23.25" customHeight="1">
      <c r="A121" s="1"/>
      <c r="B121" s="2"/>
      <c r="C121" s="1"/>
      <c r="D121" s="1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ht="23.25" customHeight="1">
      <c r="A122" s="1"/>
      <c r="B122" s="2"/>
      <c r="C122" s="1"/>
      <c r="D122" s="1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ht="23.25" customHeight="1">
      <c r="A123" s="1"/>
      <c r="B123" s="2"/>
      <c r="C123" s="1"/>
      <c r="D123" s="1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ht="23.25" customHeight="1">
      <c r="A124" s="1"/>
      <c r="B124" s="2"/>
      <c r="C124" s="1"/>
      <c r="D124" s="1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ht="23.25" customHeight="1">
      <c r="A125" s="1"/>
      <c r="B125" s="2"/>
      <c r="C125" s="1"/>
      <c r="D125" s="1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ht="23.25" customHeight="1">
      <c r="A126" s="1"/>
      <c r="B126" s="2"/>
      <c r="C126" s="1"/>
      <c r="D126" s="1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4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ht="23.25" customHeight="1">
      <c r="A127" s="1"/>
      <c r="B127" s="2"/>
      <c r="C127" s="1"/>
      <c r="D127" s="1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4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ht="23.25" customHeight="1">
      <c r="A128" s="1"/>
      <c r="B128" s="2"/>
      <c r="C128" s="1"/>
      <c r="D128" s="1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4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ht="23.25" customHeight="1">
      <c r="A129" s="1"/>
      <c r="B129" s="2"/>
      <c r="C129" s="1"/>
      <c r="D129" s="1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4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ht="23.25" customHeight="1">
      <c r="A130" s="1"/>
      <c r="B130" s="2"/>
      <c r="C130" s="1"/>
      <c r="D130" s="1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4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ht="23.25" customHeight="1">
      <c r="A131" s="1"/>
      <c r="B131" s="2"/>
      <c r="C131" s="1"/>
      <c r="D131" s="1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4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ht="23.25" customHeight="1">
      <c r="A132" s="1"/>
      <c r="B132" s="2"/>
      <c r="C132" s="1"/>
      <c r="D132" s="1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4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ht="23.25" customHeight="1">
      <c r="A133" s="1"/>
      <c r="B133" s="2"/>
      <c r="C133" s="1"/>
      <c r="D133" s="1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4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ht="23.25" customHeight="1">
      <c r="A134" s="1"/>
      <c r="B134" s="2"/>
      <c r="C134" s="1"/>
      <c r="D134" s="1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4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ht="23.25" customHeight="1">
      <c r="A135" s="1"/>
      <c r="B135" s="2"/>
      <c r="C135" s="1"/>
      <c r="D135" s="1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4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ht="23.25" customHeight="1">
      <c r="A136" s="1"/>
      <c r="B136" s="2"/>
      <c r="C136" s="1"/>
      <c r="D136" s="1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4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ht="23.25" customHeight="1">
      <c r="A137" s="1"/>
      <c r="B137" s="2"/>
      <c r="C137" s="1"/>
      <c r="D137" s="1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4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ht="23.25" customHeight="1">
      <c r="A138" s="1"/>
      <c r="B138" s="2"/>
      <c r="C138" s="1"/>
      <c r="D138" s="1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4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ht="23.25" customHeight="1">
      <c r="A139" s="1"/>
      <c r="B139" s="2"/>
      <c r="C139" s="1"/>
      <c r="D139" s="1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4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ht="23.25" customHeight="1">
      <c r="A140" s="1"/>
      <c r="B140" s="2"/>
      <c r="C140" s="1"/>
      <c r="D140" s="1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4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ht="23.25" customHeight="1">
      <c r="A141" s="1"/>
      <c r="B141" s="2"/>
      <c r="C141" s="1"/>
      <c r="D141" s="1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4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ht="23.25" customHeight="1">
      <c r="A142" s="1"/>
      <c r="B142" s="2"/>
      <c r="C142" s="1"/>
      <c r="D142" s="1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4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ht="23.25" customHeight="1">
      <c r="A143" s="1"/>
      <c r="B143" s="2"/>
      <c r="C143" s="1"/>
      <c r="D143" s="1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4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ht="23.25" customHeight="1">
      <c r="A144" s="1"/>
      <c r="B144" s="2"/>
      <c r="C144" s="1"/>
      <c r="D144" s="1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4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ht="23.25" customHeight="1">
      <c r="A145" s="1"/>
      <c r="B145" s="2"/>
      <c r="C145" s="1"/>
      <c r="D145" s="1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4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ht="23.25" customHeight="1">
      <c r="A146" s="1"/>
      <c r="B146" s="2"/>
      <c r="C146" s="1"/>
      <c r="D146" s="1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4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ht="23.25" customHeight="1">
      <c r="A147" s="1"/>
      <c r="B147" s="2"/>
      <c r="C147" s="1"/>
      <c r="D147" s="1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4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ht="23.25" customHeight="1">
      <c r="A148" s="1"/>
      <c r="B148" s="2"/>
      <c r="C148" s="1"/>
      <c r="D148" s="1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4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ht="23.25" customHeight="1">
      <c r="A149" s="1"/>
      <c r="B149" s="2"/>
      <c r="C149" s="1"/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4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ht="23.25" customHeight="1">
      <c r="A150" s="1"/>
      <c r="B150" s="2"/>
      <c r="C150" s="1"/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4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ht="23.25" customHeight="1">
      <c r="A151" s="1"/>
      <c r="B151" s="2"/>
      <c r="C151" s="1"/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4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ht="23.25" customHeight="1">
      <c r="A152" s="1"/>
      <c r="B152" s="2"/>
      <c r="C152" s="1"/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4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ht="23.25" customHeight="1">
      <c r="A153" s="1"/>
      <c r="B153" s="2"/>
      <c r="C153" s="1"/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4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ht="23.25" customHeight="1">
      <c r="A154" s="1"/>
      <c r="B154" s="2"/>
      <c r="C154" s="1"/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4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ht="23.25" customHeight="1">
      <c r="A155" s="1"/>
      <c r="B155" s="2"/>
      <c r="C155" s="1"/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4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ht="23.25" customHeight="1">
      <c r="A156" s="1"/>
      <c r="B156" s="2"/>
      <c r="C156" s="1"/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4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ht="23.25" customHeight="1">
      <c r="A157" s="1"/>
      <c r="B157" s="2"/>
      <c r="C157" s="1"/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4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ht="23.25" customHeight="1">
      <c r="A158" s="1"/>
      <c r="B158" s="2"/>
      <c r="C158" s="1"/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4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ht="23.25" customHeight="1">
      <c r="A159" s="1"/>
      <c r="B159" s="2"/>
      <c r="C159" s="1"/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4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ht="23.25" customHeight="1">
      <c r="A160" s="1"/>
      <c r="B160" s="2"/>
      <c r="C160" s="1"/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4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ht="23.25" customHeight="1">
      <c r="A161" s="1"/>
      <c r="B161" s="2"/>
      <c r="C161" s="1"/>
      <c r="D161" s="1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4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ht="23.25" customHeight="1">
      <c r="A162" s="1"/>
      <c r="B162" s="2"/>
      <c r="C162" s="1"/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4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ht="23.25" customHeight="1">
      <c r="A163" s="1"/>
      <c r="B163" s="2"/>
      <c r="C163" s="1"/>
      <c r="D163" s="1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4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ht="23.25" customHeight="1">
      <c r="A164" s="1"/>
      <c r="B164" s="2"/>
      <c r="C164" s="1"/>
      <c r="D164" s="1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4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ht="23.25" customHeight="1">
      <c r="A165" s="1"/>
      <c r="B165" s="2"/>
      <c r="C165" s="1"/>
      <c r="D165" s="1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4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ht="23.25" customHeight="1">
      <c r="A166" s="1"/>
      <c r="B166" s="2"/>
      <c r="C166" s="1"/>
      <c r="D166" s="1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4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ht="23.25" customHeight="1">
      <c r="A167" s="1"/>
      <c r="B167" s="2"/>
      <c r="C167" s="1"/>
      <c r="D167" s="1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4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ht="23.25" customHeight="1">
      <c r="A168" s="1"/>
      <c r="B168" s="2"/>
      <c r="C168" s="1"/>
      <c r="D168" s="1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4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ht="23.25" customHeight="1">
      <c r="A169" s="1"/>
      <c r="B169" s="2"/>
      <c r="C169" s="1"/>
      <c r="D169" s="1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4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ht="23.25" customHeight="1">
      <c r="A170" s="1"/>
      <c r="B170" s="2"/>
      <c r="C170" s="1"/>
      <c r="D170" s="1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4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ht="23.25" customHeight="1">
      <c r="A171" s="1"/>
      <c r="B171" s="2"/>
      <c r="C171" s="1"/>
      <c r="D171" s="1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4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ht="23.25" customHeight="1">
      <c r="A172" s="1"/>
      <c r="B172" s="2"/>
      <c r="C172" s="1"/>
      <c r="D172" s="1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4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ht="23.25" customHeight="1">
      <c r="A173" s="1"/>
      <c r="B173" s="2"/>
      <c r="C173" s="1"/>
      <c r="D173" s="1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4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ht="23.25" customHeight="1">
      <c r="A174" s="1"/>
      <c r="B174" s="2"/>
      <c r="C174" s="1"/>
      <c r="D174" s="1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4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ht="23.25" customHeight="1">
      <c r="A175" s="1"/>
      <c r="B175" s="2"/>
      <c r="C175" s="1"/>
      <c r="D175" s="1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4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ht="23.25" customHeight="1">
      <c r="A176" s="1"/>
      <c r="B176" s="2"/>
      <c r="C176" s="1"/>
      <c r="D176" s="1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4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ht="23.25" customHeight="1">
      <c r="A177" s="1"/>
      <c r="B177" s="2"/>
      <c r="C177" s="1"/>
      <c r="D177" s="1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4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ht="23.25" customHeight="1">
      <c r="A178" s="1"/>
      <c r="B178" s="2"/>
      <c r="C178" s="1"/>
      <c r="D178" s="1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4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ht="23.25" customHeight="1">
      <c r="A179" s="1"/>
      <c r="B179" s="2"/>
      <c r="C179" s="1"/>
      <c r="D179" s="1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4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ht="23.25" customHeight="1">
      <c r="A180" s="1"/>
      <c r="B180" s="2"/>
      <c r="C180" s="1"/>
      <c r="D180" s="1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4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ht="23.25" customHeight="1">
      <c r="A181" s="1"/>
      <c r="B181" s="2"/>
      <c r="C181" s="1"/>
      <c r="D181" s="1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4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ht="23.25" customHeight="1">
      <c r="A182" s="1"/>
      <c r="B182" s="2"/>
      <c r="C182" s="1"/>
      <c r="D182" s="1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4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ht="23.25" customHeight="1">
      <c r="A183" s="1"/>
      <c r="B183" s="2"/>
      <c r="C183" s="1"/>
      <c r="D183" s="1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4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ht="23.25" customHeight="1">
      <c r="A184" s="1"/>
      <c r="B184" s="2"/>
      <c r="C184" s="1"/>
      <c r="D184" s="1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4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ht="23.25" customHeight="1">
      <c r="A185" s="1"/>
      <c r="B185" s="2"/>
      <c r="C185" s="1"/>
      <c r="D185" s="1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4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ht="23.25" customHeight="1">
      <c r="A186" s="1"/>
      <c r="B186" s="2"/>
      <c r="C186" s="1"/>
      <c r="D186" s="1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4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ht="23.25" customHeight="1">
      <c r="A187" s="1"/>
      <c r="B187" s="2"/>
      <c r="C187" s="1"/>
      <c r="D187" s="1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4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ht="23.25" customHeight="1">
      <c r="A188" s="1"/>
      <c r="B188" s="2"/>
      <c r="C188" s="1"/>
      <c r="D188" s="1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4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ht="23.25" customHeight="1">
      <c r="A189" s="1"/>
      <c r="B189" s="2"/>
      <c r="C189" s="1"/>
      <c r="D189" s="1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4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ht="23.25" customHeight="1">
      <c r="A190" s="1"/>
      <c r="B190" s="2"/>
      <c r="C190" s="1"/>
      <c r="D190" s="1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4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ht="23.25" customHeight="1">
      <c r="A191" s="1"/>
      <c r="B191" s="2"/>
      <c r="C191" s="1"/>
      <c r="D191" s="1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4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ht="23.25" customHeight="1">
      <c r="A192" s="1"/>
      <c r="B192" s="2"/>
      <c r="C192" s="1"/>
      <c r="D192" s="1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4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ht="23.25" customHeight="1">
      <c r="A193" s="1"/>
      <c r="B193" s="2"/>
      <c r="C193" s="1"/>
      <c r="D193" s="1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4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ht="23.25" customHeight="1">
      <c r="A194" s="1"/>
      <c r="B194" s="2"/>
      <c r="C194" s="1"/>
      <c r="D194" s="1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4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ht="23.25" customHeight="1">
      <c r="A195" s="1"/>
      <c r="B195" s="2"/>
      <c r="C195" s="1"/>
      <c r="D195" s="1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4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ht="23.25" customHeight="1">
      <c r="A196" s="1"/>
      <c r="B196" s="2"/>
      <c r="C196" s="1"/>
      <c r="D196" s="1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4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ht="23.25" customHeight="1">
      <c r="A197" s="1"/>
      <c r="B197" s="2"/>
      <c r="C197" s="1"/>
      <c r="D197" s="1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4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ht="23.25" customHeight="1">
      <c r="A198" s="1"/>
      <c r="B198" s="2"/>
      <c r="C198" s="1"/>
      <c r="D198" s="1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4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ht="23.25" customHeight="1">
      <c r="A199" s="1"/>
      <c r="B199" s="2"/>
      <c r="C199" s="1"/>
      <c r="D199" s="1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4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ht="23.25" customHeight="1">
      <c r="A200" s="1"/>
      <c r="B200" s="2"/>
      <c r="C200" s="1"/>
      <c r="D200" s="1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4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ht="23.25" customHeight="1">
      <c r="A201" s="1"/>
      <c r="B201" s="2"/>
      <c r="C201" s="1"/>
      <c r="D201" s="1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4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ht="23.25" customHeight="1">
      <c r="A202" s="1"/>
      <c r="B202" s="2"/>
      <c r="C202" s="1"/>
      <c r="D202" s="1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4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ht="23.25" customHeight="1">
      <c r="A203" s="1"/>
      <c r="B203" s="2"/>
      <c r="C203" s="1"/>
      <c r="D203" s="1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4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ht="23.25" customHeight="1">
      <c r="A204" s="1"/>
      <c r="B204" s="2"/>
      <c r="C204" s="1"/>
      <c r="D204" s="1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4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ht="23.25" customHeight="1">
      <c r="A205" s="1"/>
      <c r="B205" s="2"/>
      <c r="C205" s="1"/>
      <c r="D205" s="1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4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ht="23.25" customHeight="1">
      <c r="A206" s="1"/>
      <c r="B206" s="2"/>
      <c r="C206" s="1"/>
      <c r="D206" s="1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4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ht="23.25" customHeight="1">
      <c r="A207" s="1"/>
      <c r="B207" s="2"/>
      <c r="C207" s="1"/>
      <c r="D207" s="1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4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ht="23.25" customHeight="1">
      <c r="A208" s="1"/>
      <c r="B208" s="2"/>
      <c r="C208" s="1"/>
      <c r="D208" s="1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4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ht="23.25" customHeight="1">
      <c r="A209" s="1"/>
      <c r="B209" s="2"/>
      <c r="C209" s="1"/>
      <c r="D209" s="1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4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ht="23.25" customHeight="1">
      <c r="A210" s="1"/>
      <c r="B210" s="2"/>
      <c r="C210" s="1"/>
      <c r="D210" s="1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4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ht="23.25" customHeight="1">
      <c r="A211" s="1"/>
      <c r="B211" s="2"/>
      <c r="C211" s="1"/>
      <c r="D211" s="1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4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ht="23.25" customHeight="1">
      <c r="A212" s="1"/>
      <c r="B212" s="2"/>
      <c r="C212" s="1"/>
      <c r="D212" s="1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4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ht="23.25" customHeight="1">
      <c r="A213" s="1"/>
      <c r="B213" s="2"/>
      <c r="C213" s="1"/>
      <c r="D213" s="1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4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ht="23.25" customHeight="1">
      <c r="A214" s="1"/>
      <c r="B214" s="2"/>
      <c r="C214" s="1"/>
      <c r="D214" s="1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4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ht="23.25" customHeight="1">
      <c r="A215" s="1"/>
      <c r="B215" s="2"/>
      <c r="C215" s="1"/>
      <c r="D215" s="1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4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ht="23.25" customHeight="1">
      <c r="A216" s="1"/>
      <c r="B216" s="2"/>
      <c r="C216" s="1"/>
      <c r="D216" s="1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4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ht="23.25" customHeight="1">
      <c r="A217" s="1"/>
      <c r="B217" s="2"/>
      <c r="C217" s="1"/>
      <c r="D217" s="1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4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ht="23.25" customHeight="1">
      <c r="A218" s="1"/>
      <c r="B218" s="2"/>
      <c r="C218" s="1"/>
      <c r="D218" s="1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4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ht="23.25" customHeight="1">
      <c r="A219" s="1"/>
      <c r="B219" s="2"/>
      <c r="C219" s="1"/>
      <c r="D219" s="1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4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ht="23.25" customHeight="1">
      <c r="A220" s="1"/>
      <c r="B220" s="2"/>
      <c r="C220" s="1"/>
      <c r="D220" s="1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4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ht="23.25" customHeight="1">
      <c r="A221" s="1"/>
      <c r="B221" s="2"/>
      <c r="C221" s="1"/>
      <c r="D221" s="1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4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ht="23.25" customHeight="1">
      <c r="A222" s="1"/>
      <c r="B222" s="2"/>
      <c r="C222" s="1"/>
      <c r="D222" s="1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4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ht="23.25" customHeight="1">
      <c r="A223" s="1"/>
      <c r="B223" s="2"/>
      <c r="C223" s="1"/>
      <c r="D223" s="1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4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ht="23.25" customHeight="1">
      <c r="A224" s="1"/>
      <c r="B224" s="2"/>
      <c r="C224" s="1"/>
      <c r="D224" s="1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4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ht="23.25" customHeight="1">
      <c r="A225" s="1"/>
      <c r="B225" s="2"/>
      <c r="C225" s="1"/>
      <c r="D225" s="1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4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ht="23.25" customHeight="1">
      <c r="A226" s="1"/>
      <c r="B226" s="2"/>
      <c r="C226" s="1"/>
      <c r="D226" s="1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4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ht="23.25" customHeight="1">
      <c r="A227" s="1"/>
      <c r="B227" s="2"/>
      <c r="C227" s="1"/>
      <c r="D227" s="1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4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ht="23.25" customHeight="1">
      <c r="A228" s="1"/>
      <c r="B228" s="2"/>
      <c r="C228" s="1"/>
      <c r="D228" s="1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4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ht="23.25" customHeight="1">
      <c r="A229" s="1"/>
      <c r="B229" s="2"/>
      <c r="C229" s="1"/>
      <c r="D229" s="1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4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ht="23.25" customHeight="1">
      <c r="A230" s="1"/>
      <c r="B230" s="2"/>
      <c r="C230" s="1"/>
      <c r="D230" s="1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4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ht="23.25" customHeight="1">
      <c r="A231" s="1"/>
      <c r="B231" s="2"/>
      <c r="C231" s="1"/>
      <c r="D231" s="1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4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ht="23.25" customHeight="1">
      <c r="A232" s="1"/>
      <c r="B232" s="2"/>
      <c r="C232" s="1"/>
      <c r="D232" s="1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4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ht="23.25" customHeight="1">
      <c r="A233" s="1"/>
      <c r="B233" s="2"/>
      <c r="C233" s="1"/>
      <c r="D233" s="1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4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ht="23.25" customHeight="1">
      <c r="A234" s="1"/>
      <c r="B234" s="2"/>
      <c r="C234" s="1"/>
      <c r="D234" s="1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4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ht="23.25" customHeight="1">
      <c r="A235" s="1"/>
      <c r="B235" s="2"/>
      <c r="C235" s="1"/>
      <c r="D235" s="1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4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ht="23.25" customHeight="1">
      <c r="A236" s="1"/>
      <c r="B236" s="2"/>
      <c r="C236" s="1"/>
      <c r="D236" s="1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4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ht="23.25" customHeight="1">
      <c r="A237" s="1"/>
      <c r="B237" s="2"/>
      <c r="C237" s="1"/>
      <c r="D237" s="1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4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ht="23.25" customHeight="1">
      <c r="A238" s="1"/>
      <c r="B238" s="2"/>
      <c r="C238" s="1"/>
      <c r="D238" s="1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4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ht="23.25" customHeight="1">
      <c r="A239" s="1"/>
      <c r="B239" s="2"/>
      <c r="C239" s="1"/>
      <c r="D239" s="1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4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ht="23.25" customHeight="1">
      <c r="A240" s="1"/>
      <c r="B240" s="2"/>
      <c r="C240" s="1"/>
      <c r="D240" s="1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4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ht="23.25" customHeight="1">
      <c r="A241" s="1"/>
      <c r="B241" s="2"/>
      <c r="C241" s="1"/>
      <c r="D241" s="1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4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ht="23.25" customHeight="1">
      <c r="A242" s="1"/>
      <c r="B242" s="2"/>
      <c r="C242" s="1"/>
      <c r="D242" s="1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4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ht="23.25" customHeight="1">
      <c r="A243" s="1"/>
      <c r="B243" s="2"/>
      <c r="C243" s="1"/>
      <c r="D243" s="1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4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ht="23.25" customHeight="1">
      <c r="A244" s="1"/>
      <c r="B244" s="2"/>
      <c r="C244" s="1"/>
      <c r="D244" s="1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4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ht="23.25" customHeight="1">
      <c r="A245" s="1"/>
      <c r="B245" s="2"/>
      <c r="C245" s="1"/>
      <c r="D245" s="1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4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ht="23.25" customHeight="1">
      <c r="A246" s="1"/>
      <c r="B246" s="2"/>
      <c r="C246" s="1"/>
      <c r="D246" s="1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4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ht="23.25" customHeight="1">
      <c r="A247" s="1"/>
      <c r="B247" s="2"/>
      <c r="C247" s="1"/>
      <c r="D247" s="1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4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ht="23.25" customHeight="1">
      <c r="A248" s="1"/>
      <c r="B248" s="2"/>
      <c r="C248" s="1"/>
      <c r="D248" s="1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4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ht="23.25" customHeight="1">
      <c r="A249" s="1"/>
      <c r="B249" s="2"/>
      <c r="C249" s="1"/>
      <c r="D249" s="1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4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ht="23.25" customHeight="1">
      <c r="A250" s="1"/>
      <c r="B250" s="2"/>
      <c r="C250" s="1"/>
      <c r="D250" s="1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4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ht="23.25" customHeight="1">
      <c r="A251" s="1"/>
      <c r="B251" s="2"/>
      <c r="C251" s="1"/>
      <c r="D251" s="1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4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ht="23.25" customHeight="1">
      <c r="A252" s="1"/>
      <c r="B252" s="2"/>
      <c r="C252" s="1"/>
      <c r="D252" s="1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4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ht="23.25" customHeight="1">
      <c r="A253" s="1"/>
      <c r="B253" s="2"/>
      <c r="C253" s="1"/>
      <c r="D253" s="1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4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ht="23.25" customHeight="1">
      <c r="A254" s="1"/>
      <c r="B254" s="2"/>
      <c r="C254" s="1"/>
      <c r="D254" s="1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4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ht="23.25" customHeight="1">
      <c r="A255" s="1"/>
      <c r="B255" s="2"/>
      <c r="C255" s="1"/>
      <c r="D255" s="1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4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ht="23.25" customHeight="1">
      <c r="A256" s="1"/>
      <c r="B256" s="2"/>
      <c r="C256" s="1"/>
      <c r="D256" s="1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4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ht="23.25" customHeight="1">
      <c r="A257" s="1"/>
      <c r="B257" s="2"/>
      <c r="C257" s="1"/>
      <c r="D257" s="1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4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ht="23.25" customHeight="1">
      <c r="A258" s="1"/>
      <c r="B258" s="2"/>
      <c r="C258" s="1"/>
      <c r="D258" s="1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4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ht="23.25" customHeight="1">
      <c r="A259" s="1"/>
      <c r="B259" s="2"/>
      <c r="C259" s="1"/>
      <c r="D259" s="1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4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ht="23.25" customHeight="1">
      <c r="A260" s="1"/>
      <c r="B260" s="2"/>
      <c r="C260" s="1"/>
      <c r="D260" s="1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4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ht="23.25" customHeight="1">
      <c r="A261" s="1"/>
      <c r="B261" s="2"/>
      <c r="C261" s="1"/>
      <c r="D261" s="1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4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ht="23.25" customHeight="1">
      <c r="A262" s="1"/>
      <c r="B262" s="2"/>
      <c r="C262" s="1"/>
      <c r="D262" s="1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4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ht="23.25" customHeight="1">
      <c r="A263" s="1"/>
      <c r="B263" s="2"/>
      <c r="C263" s="1"/>
      <c r="D263" s="1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4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ht="23.25" customHeight="1">
      <c r="A264" s="1"/>
      <c r="B264" s="2"/>
      <c r="C264" s="1"/>
      <c r="D264" s="1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4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ht="23.25" customHeight="1">
      <c r="A265" s="1"/>
      <c r="B265" s="2"/>
      <c r="C265" s="1"/>
      <c r="D265" s="1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4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ht="23.25" customHeight="1">
      <c r="A266" s="1"/>
      <c r="B266" s="2"/>
      <c r="C266" s="1"/>
      <c r="D266" s="1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4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ht="23.25" customHeight="1">
      <c r="A267" s="1"/>
      <c r="B267" s="2"/>
      <c r="C267" s="1"/>
      <c r="D267" s="1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4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ht="23.25" customHeight="1">
      <c r="A268" s="1"/>
      <c r="B268" s="2"/>
      <c r="C268" s="1"/>
      <c r="D268" s="1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4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ht="23.25" customHeight="1">
      <c r="A269" s="1"/>
      <c r="B269" s="2"/>
      <c r="C269" s="1"/>
      <c r="D269" s="1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4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ht="23.25" customHeight="1">
      <c r="A270" s="1"/>
      <c r="B270" s="2"/>
      <c r="C270" s="1"/>
      <c r="D270" s="1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4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ht="23.25" customHeight="1">
      <c r="A271" s="1"/>
      <c r="B271" s="2"/>
      <c r="C271" s="1"/>
      <c r="D271" s="1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4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ht="23.25" customHeight="1">
      <c r="A272" s="1"/>
      <c r="B272" s="2"/>
      <c r="C272" s="1"/>
      <c r="D272" s="1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4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ht="23.25" customHeight="1">
      <c r="A273" s="1"/>
      <c r="B273" s="2"/>
      <c r="C273" s="1"/>
      <c r="D273" s="1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4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ht="23.25" customHeight="1">
      <c r="A274" s="1"/>
      <c r="B274" s="2"/>
      <c r="C274" s="1"/>
      <c r="D274" s="1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4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ht="23.25" customHeight="1">
      <c r="A275" s="1"/>
      <c r="B275" s="2"/>
      <c r="C275" s="1"/>
      <c r="D275" s="1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4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ht="23.25" customHeight="1">
      <c r="A276" s="1"/>
      <c r="B276" s="2"/>
      <c r="C276" s="1"/>
      <c r="D276" s="1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4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ht="23.25" customHeight="1">
      <c r="A277" s="1"/>
      <c r="B277" s="2"/>
      <c r="C277" s="1"/>
      <c r="D277" s="1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4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ht="23.25" customHeight="1">
      <c r="A278" s="1"/>
      <c r="B278" s="2"/>
      <c r="C278" s="1"/>
      <c r="D278" s="1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4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ht="23.25" customHeight="1">
      <c r="A279" s="1"/>
      <c r="B279" s="2"/>
      <c r="C279" s="1"/>
      <c r="D279" s="1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4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ht="23.25" customHeight="1">
      <c r="A280" s="1"/>
      <c r="B280" s="2"/>
      <c r="C280" s="1"/>
      <c r="D280" s="1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4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ht="23.25" customHeight="1">
      <c r="A281" s="1"/>
      <c r="B281" s="2"/>
      <c r="C281" s="1"/>
      <c r="D281" s="1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4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ht="23.25" customHeight="1">
      <c r="A282" s="1"/>
      <c r="B282" s="2"/>
      <c r="C282" s="1"/>
      <c r="D282" s="1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4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ht="23.25" customHeight="1">
      <c r="A283" s="1"/>
      <c r="B283" s="2"/>
      <c r="C283" s="1"/>
      <c r="D283" s="1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4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ht="23.25" customHeight="1">
      <c r="A284" s="1"/>
      <c r="B284" s="2"/>
      <c r="C284" s="1"/>
      <c r="D284" s="1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4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ht="23.25" customHeight="1">
      <c r="A285" s="1"/>
      <c r="B285" s="2"/>
      <c r="C285" s="1"/>
      <c r="D285" s="1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4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ht="23.25" customHeight="1">
      <c r="A286" s="1"/>
      <c r="B286" s="2"/>
      <c r="C286" s="1"/>
      <c r="D286" s="1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4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ht="23.25" customHeight="1">
      <c r="A287" s="1"/>
      <c r="B287" s="2"/>
      <c r="C287" s="1"/>
      <c r="D287" s="1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4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ht="23.25" customHeight="1">
      <c r="A288" s="1"/>
      <c r="B288" s="2"/>
      <c r="C288" s="1"/>
      <c r="D288" s="1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4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ht="23.25" customHeight="1">
      <c r="A289" s="1"/>
      <c r="B289" s="2"/>
      <c r="C289" s="1"/>
      <c r="D289" s="1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4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ht="23.25" customHeight="1">
      <c r="A290" s="1"/>
      <c r="B290" s="2"/>
      <c r="C290" s="1"/>
      <c r="D290" s="1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4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ht="23.25" customHeight="1">
      <c r="A291" s="1"/>
      <c r="B291" s="2"/>
      <c r="C291" s="1"/>
      <c r="D291" s="1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4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ht="23.25" customHeight="1">
      <c r="A292" s="1"/>
      <c r="B292" s="2"/>
      <c r="C292" s="1"/>
      <c r="D292" s="1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4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ht="23.25" customHeight="1">
      <c r="A293" s="1"/>
      <c r="B293" s="2"/>
      <c r="C293" s="1"/>
      <c r="D293" s="1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4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ht="23.25" customHeight="1">
      <c r="A294" s="1"/>
      <c r="B294" s="2"/>
      <c r="C294" s="1"/>
      <c r="D294" s="1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4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ht="23.25" customHeight="1">
      <c r="A295" s="1"/>
      <c r="B295" s="2"/>
      <c r="C295" s="1"/>
      <c r="D295" s="1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4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ht="23.25" customHeight="1">
      <c r="A296" s="1"/>
      <c r="B296" s="2"/>
      <c r="C296" s="1"/>
      <c r="D296" s="1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4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ht="23.25" customHeight="1">
      <c r="A297" s="1"/>
      <c r="B297" s="2"/>
      <c r="C297" s="1"/>
      <c r="D297" s="1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4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ht="23.25" customHeight="1">
      <c r="A298" s="1"/>
      <c r="B298" s="2"/>
      <c r="C298" s="1"/>
      <c r="D298" s="1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4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ht="23.25" customHeight="1">
      <c r="A299" s="1"/>
      <c r="B299" s="2"/>
      <c r="C299" s="1"/>
      <c r="D299" s="1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4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ht="23.25" customHeight="1">
      <c r="A300" s="1"/>
      <c r="B300" s="2"/>
      <c r="C300" s="1"/>
      <c r="D300" s="1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4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ht="23.25" customHeight="1">
      <c r="A301" s="1"/>
      <c r="B301" s="2"/>
      <c r="C301" s="1"/>
      <c r="D301" s="1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4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ht="23.25" customHeight="1">
      <c r="A302" s="1"/>
      <c r="B302" s="2"/>
      <c r="C302" s="1"/>
      <c r="D302" s="1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4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ht="23.25" customHeight="1">
      <c r="A303" s="1"/>
      <c r="B303" s="2"/>
      <c r="C303" s="1"/>
      <c r="D303" s="1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4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ht="23.25" customHeight="1">
      <c r="A304" s="1"/>
      <c r="B304" s="2"/>
      <c r="C304" s="1"/>
      <c r="D304" s="1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4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ht="23.25" customHeight="1">
      <c r="A305" s="1"/>
      <c r="B305" s="2"/>
      <c r="C305" s="1"/>
      <c r="D305" s="1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4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ht="23.25" customHeight="1">
      <c r="A306" s="1"/>
      <c r="B306" s="2"/>
      <c r="C306" s="1"/>
      <c r="D306" s="1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4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ht="23.25" customHeight="1">
      <c r="A307" s="1"/>
      <c r="B307" s="2"/>
      <c r="C307" s="1"/>
      <c r="D307" s="1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4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ht="23.25" customHeight="1">
      <c r="A308" s="1"/>
      <c r="B308" s="2"/>
      <c r="C308" s="1"/>
      <c r="D308" s="1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4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ht="23.25" customHeight="1">
      <c r="A309" s="1"/>
      <c r="B309" s="2"/>
      <c r="C309" s="1"/>
      <c r="D309" s="1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4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ht="23.25" customHeight="1">
      <c r="A310" s="1"/>
      <c r="B310" s="2"/>
      <c r="C310" s="1"/>
      <c r="D310" s="1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4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ht="23.25" customHeight="1">
      <c r="A311" s="1"/>
      <c r="B311" s="2"/>
      <c r="C311" s="1"/>
      <c r="D311" s="1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4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ht="23.25" customHeight="1">
      <c r="A312" s="1"/>
      <c r="B312" s="2"/>
      <c r="C312" s="1"/>
      <c r="D312" s="1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4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ht="23.25" customHeight="1">
      <c r="A313" s="1"/>
      <c r="B313" s="2"/>
      <c r="C313" s="1"/>
      <c r="D313" s="1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4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ht="23.25" customHeight="1">
      <c r="A314" s="1"/>
      <c r="B314" s="2"/>
      <c r="C314" s="1"/>
      <c r="D314" s="1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4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ht="23.25" customHeight="1">
      <c r="A315" s="1"/>
      <c r="B315" s="2"/>
      <c r="C315" s="1"/>
      <c r="D315" s="1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4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ht="23.25" customHeight="1">
      <c r="A316" s="1"/>
      <c r="B316" s="2"/>
      <c r="C316" s="1"/>
      <c r="D316" s="1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4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ht="23.25" customHeight="1">
      <c r="A317" s="1"/>
      <c r="B317" s="2"/>
      <c r="C317" s="1"/>
      <c r="D317" s="1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4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ht="23.25" customHeight="1">
      <c r="A318" s="1"/>
      <c r="B318" s="2"/>
      <c r="C318" s="1"/>
      <c r="D318" s="1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4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ht="23.25" customHeight="1">
      <c r="A319" s="1"/>
      <c r="B319" s="2"/>
      <c r="C319" s="1"/>
      <c r="D319" s="1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4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ht="23.25" customHeight="1">
      <c r="A320" s="1"/>
      <c r="B320" s="2"/>
      <c r="C320" s="1"/>
      <c r="D320" s="1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4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ht="23.25" customHeight="1">
      <c r="A321" s="1"/>
      <c r="B321" s="2"/>
      <c r="C321" s="1"/>
      <c r="D321" s="1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4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ht="23.25" customHeight="1">
      <c r="A322" s="1"/>
      <c r="B322" s="2"/>
      <c r="C322" s="1"/>
      <c r="D322" s="1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4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ht="23.25" customHeight="1">
      <c r="A323" s="1"/>
      <c r="B323" s="2"/>
      <c r="C323" s="1"/>
      <c r="D323" s="1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4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ht="23.25" customHeight="1">
      <c r="A324" s="1"/>
      <c r="B324" s="2"/>
      <c r="C324" s="1"/>
      <c r="D324" s="1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4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ht="23.25" customHeight="1">
      <c r="A325" s="1"/>
      <c r="B325" s="2"/>
      <c r="C325" s="1"/>
      <c r="D325" s="1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4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ht="23.25" customHeight="1">
      <c r="A326" s="1"/>
      <c r="B326" s="2"/>
      <c r="C326" s="1"/>
      <c r="D326" s="1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4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ht="23.25" customHeight="1">
      <c r="A327" s="1"/>
      <c r="B327" s="2"/>
      <c r="C327" s="1"/>
      <c r="D327" s="1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4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ht="23.25" customHeight="1">
      <c r="A328" s="1"/>
      <c r="B328" s="2"/>
      <c r="C328" s="1"/>
      <c r="D328" s="1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4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ht="23.25" customHeight="1">
      <c r="A329" s="1"/>
      <c r="B329" s="2"/>
      <c r="C329" s="1"/>
      <c r="D329" s="1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4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ht="23.25" customHeight="1">
      <c r="A330" s="1"/>
      <c r="B330" s="2"/>
      <c r="C330" s="1"/>
      <c r="D330" s="1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4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ht="23.25" customHeight="1">
      <c r="A331" s="1"/>
      <c r="B331" s="2"/>
      <c r="C331" s="1"/>
      <c r="D331" s="1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4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ht="23.25" customHeight="1">
      <c r="A332" s="1"/>
      <c r="B332" s="2"/>
      <c r="C332" s="1"/>
      <c r="D332" s="1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4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ht="23.25" customHeight="1">
      <c r="A333" s="1"/>
      <c r="B333" s="2"/>
      <c r="C333" s="1"/>
      <c r="D333" s="1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4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ht="23.25" customHeight="1">
      <c r="A334" s="1"/>
      <c r="B334" s="2"/>
      <c r="C334" s="1"/>
      <c r="D334" s="1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4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ht="23.25" customHeight="1">
      <c r="A335" s="1"/>
      <c r="B335" s="2"/>
      <c r="C335" s="1"/>
      <c r="D335" s="1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4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ht="23.25" customHeight="1">
      <c r="A336" s="1"/>
      <c r="B336" s="2"/>
      <c r="C336" s="1"/>
      <c r="D336" s="1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4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ht="23.25" customHeight="1">
      <c r="A337" s="1"/>
      <c r="B337" s="2"/>
      <c r="C337" s="1"/>
      <c r="D337" s="1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4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ht="23.25" customHeight="1">
      <c r="A338" s="1"/>
      <c r="B338" s="2"/>
      <c r="C338" s="1"/>
      <c r="D338" s="1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4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ht="23.25" customHeight="1">
      <c r="A339" s="1"/>
      <c r="B339" s="2"/>
      <c r="C339" s="1"/>
      <c r="D339" s="1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4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ht="23.25" customHeight="1">
      <c r="A340" s="1"/>
      <c r="B340" s="2"/>
      <c r="C340" s="1"/>
      <c r="D340" s="1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4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ht="23.25" customHeight="1">
      <c r="A341" s="1"/>
      <c r="B341" s="2"/>
      <c r="C341" s="1"/>
      <c r="D341" s="1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4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ht="23.25" customHeight="1">
      <c r="A342" s="1"/>
      <c r="B342" s="2"/>
      <c r="C342" s="1"/>
      <c r="D342" s="1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4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ht="23.25" customHeight="1">
      <c r="A343" s="1"/>
      <c r="B343" s="2"/>
      <c r="C343" s="1"/>
      <c r="D343" s="1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4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ht="23.25" customHeight="1">
      <c r="A344" s="1"/>
      <c r="B344" s="2"/>
      <c r="C344" s="1"/>
      <c r="D344" s="1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4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  <row r="345" spans="1:107" ht="23.25" customHeight="1">
      <c r="A345" s="1"/>
      <c r="B345" s="2"/>
      <c r="C345" s="1"/>
      <c r="D345" s="1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4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</row>
    <row r="346" spans="1:107" ht="23.25" customHeight="1">
      <c r="A346" s="1"/>
      <c r="B346" s="2"/>
      <c r="C346" s="1"/>
      <c r="D346" s="1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4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</row>
    <row r="347" spans="1:107" ht="23.25" customHeight="1">
      <c r="A347" s="1"/>
      <c r="B347" s="2"/>
      <c r="C347" s="1"/>
      <c r="D347" s="1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4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</row>
    <row r="348" spans="1:107" ht="23.25" customHeight="1">
      <c r="A348" s="1"/>
      <c r="B348" s="2"/>
      <c r="C348" s="1"/>
      <c r="D348" s="1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4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</row>
    <row r="349" spans="1:107" ht="23.25" customHeight="1">
      <c r="A349" s="1"/>
      <c r="B349" s="2"/>
      <c r="C349" s="1"/>
      <c r="D349" s="1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4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</row>
    <row r="350" spans="1:107" ht="23.25" customHeight="1">
      <c r="A350" s="1"/>
      <c r="B350" s="2"/>
      <c r="C350" s="1"/>
      <c r="D350" s="1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4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</row>
    <row r="351" spans="1:107" ht="23.25" customHeight="1">
      <c r="A351" s="1"/>
      <c r="B351" s="2"/>
      <c r="C351" s="1"/>
      <c r="D351" s="1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4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</row>
    <row r="352" spans="1:107" ht="23.25" customHeight="1">
      <c r="A352" s="1"/>
      <c r="B352" s="2"/>
      <c r="C352" s="1"/>
      <c r="D352" s="1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4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</row>
    <row r="353" spans="1:107" ht="23.25" customHeight="1">
      <c r="A353" s="1"/>
      <c r="B353" s="2"/>
      <c r="C353" s="1"/>
      <c r="D353" s="1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4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</row>
    <row r="354" spans="1:107" ht="23.25" customHeight="1">
      <c r="A354" s="1"/>
      <c r="B354" s="2"/>
      <c r="C354" s="1"/>
      <c r="D354" s="1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4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</row>
    <row r="355" spans="1:107" ht="23.25" customHeight="1">
      <c r="A355" s="1"/>
      <c r="B355" s="2"/>
      <c r="C355" s="1"/>
      <c r="D355" s="1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4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</row>
    <row r="356" spans="1:107" ht="23.25" customHeight="1">
      <c r="A356" s="1"/>
      <c r="B356" s="2"/>
      <c r="C356" s="1"/>
      <c r="D356" s="1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4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</row>
    <row r="357" spans="1:107" ht="23.25" customHeight="1">
      <c r="A357" s="1"/>
      <c r="B357" s="2"/>
      <c r="C357" s="1"/>
      <c r="D357" s="1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4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</row>
    <row r="358" spans="1:107" ht="23.25" customHeight="1">
      <c r="A358" s="1"/>
      <c r="B358" s="2"/>
      <c r="C358" s="1"/>
      <c r="D358" s="1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4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</row>
    <row r="359" spans="1:107" ht="23.25" customHeight="1">
      <c r="A359" s="1"/>
      <c r="B359" s="2"/>
      <c r="C359" s="1"/>
      <c r="D359" s="1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4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</row>
    <row r="360" spans="1:107" ht="23.25" customHeight="1">
      <c r="A360" s="1"/>
      <c r="B360" s="2"/>
      <c r="C360" s="1"/>
      <c r="D360" s="1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4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</row>
    <row r="361" spans="1:107" ht="23.25" customHeight="1">
      <c r="A361" s="1"/>
      <c r="B361" s="2"/>
      <c r="C361" s="1"/>
      <c r="D361" s="1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4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</row>
    <row r="362" spans="1:107" ht="23.25" customHeight="1">
      <c r="A362" s="1"/>
      <c r="B362" s="2"/>
      <c r="C362" s="1"/>
      <c r="D362" s="1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4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</row>
    <row r="363" spans="1:107" ht="23.25" customHeight="1">
      <c r="A363" s="1"/>
      <c r="B363" s="2"/>
      <c r="C363" s="1"/>
      <c r="D363" s="1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4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</row>
    <row r="364" spans="1:107" ht="23.25" customHeight="1">
      <c r="A364" s="1"/>
      <c r="B364" s="2"/>
      <c r="C364" s="1"/>
      <c r="D364" s="1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4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</row>
    <row r="365" spans="1:107" ht="23.25" customHeight="1">
      <c r="A365" s="1"/>
      <c r="B365" s="2"/>
      <c r="C365" s="1"/>
      <c r="D365" s="1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4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</row>
    <row r="366" spans="1:107" ht="23.25" customHeight="1">
      <c r="A366" s="1"/>
      <c r="B366" s="2"/>
      <c r="C366" s="1"/>
      <c r="D366" s="1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4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</row>
    <row r="367" spans="1:107" ht="23.25" customHeight="1">
      <c r="A367" s="1"/>
      <c r="B367" s="2"/>
      <c r="C367" s="1"/>
      <c r="D367" s="1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4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</row>
    <row r="368" spans="1:107" ht="23.25" customHeight="1">
      <c r="A368" s="1"/>
      <c r="B368" s="2"/>
      <c r="C368" s="1"/>
      <c r="D368" s="1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4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</row>
    <row r="369" spans="1:107" ht="23.25" customHeight="1">
      <c r="A369" s="1"/>
      <c r="B369" s="2"/>
      <c r="C369" s="1"/>
      <c r="D369" s="1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4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</row>
    <row r="370" spans="1:107" ht="23.25" customHeight="1">
      <c r="A370" s="1"/>
      <c r="B370" s="2"/>
      <c r="C370" s="1"/>
      <c r="D370" s="1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4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</row>
    <row r="371" spans="1:107" ht="23.25" customHeight="1">
      <c r="A371" s="1"/>
      <c r="B371" s="2"/>
      <c r="C371" s="1"/>
      <c r="D371" s="1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4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</row>
    <row r="372" spans="1:107" ht="23.25" customHeight="1">
      <c r="A372" s="1"/>
      <c r="B372" s="2"/>
      <c r="C372" s="1"/>
      <c r="D372" s="1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4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</row>
    <row r="373" spans="1:107" ht="23.25" customHeight="1">
      <c r="A373" s="1"/>
      <c r="B373" s="2"/>
      <c r="C373" s="1"/>
      <c r="D373" s="1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4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</row>
    <row r="374" spans="1:107" ht="23.25" customHeight="1">
      <c r="A374" s="1"/>
      <c r="B374" s="2"/>
      <c r="C374" s="1"/>
      <c r="D374" s="1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4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</row>
    <row r="375" spans="1:107" ht="23.25" customHeight="1">
      <c r="A375" s="1"/>
      <c r="B375" s="2"/>
      <c r="C375" s="1"/>
      <c r="D375" s="1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4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</row>
    <row r="376" spans="1:107" ht="23.25" customHeight="1">
      <c r="A376" s="1"/>
      <c r="B376" s="2"/>
      <c r="C376" s="1"/>
      <c r="D376" s="1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4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</row>
    <row r="377" spans="1:107" ht="23.25" customHeight="1">
      <c r="A377" s="1"/>
      <c r="B377" s="2"/>
      <c r="C377" s="1"/>
      <c r="D377" s="1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4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</row>
    <row r="378" spans="1:107" ht="23.25" customHeight="1">
      <c r="A378" s="1"/>
      <c r="B378" s="2"/>
      <c r="C378" s="1"/>
      <c r="D378" s="1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4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</row>
    <row r="379" spans="1:107" ht="23.25" customHeight="1">
      <c r="A379" s="1"/>
      <c r="B379" s="2"/>
      <c r="C379" s="1"/>
      <c r="D379" s="1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4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</row>
    <row r="380" spans="1:107" ht="23.25" customHeight="1">
      <c r="A380" s="1"/>
      <c r="B380" s="2"/>
      <c r="C380" s="1"/>
      <c r="D380" s="1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4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</row>
    <row r="381" spans="1:107" ht="23.25" customHeight="1">
      <c r="A381" s="1"/>
      <c r="B381" s="2"/>
      <c r="C381" s="1"/>
      <c r="D381" s="1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4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</row>
    <row r="382" spans="1:107" ht="23.25" customHeight="1">
      <c r="A382" s="1"/>
      <c r="B382" s="2"/>
      <c r="C382" s="1"/>
      <c r="D382" s="1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4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</row>
    <row r="383" spans="1:107" ht="23.25" customHeight="1">
      <c r="A383" s="1"/>
      <c r="B383" s="2"/>
      <c r="C383" s="1"/>
      <c r="D383" s="1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4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</row>
    <row r="384" spans="1:107" ht="23.25" customHeight="1">
      <c r="A384" s="1"/>
      <c r="B384" s="2"/>
      <c r="C384" s="1"/>
      <c r="D384" s="1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4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</row>
    <row r="385" spans="1:107" ht="23.25" customHeight="1">
      <c r="A385" s="1"/>
      <c r="B385" s="2"/>
      <c r="C385" s="1"/>
      <c r="D385" s="1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4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</row>
    <row r="386" spans="1:107" ht="23.25" customHeight="1">
      <c r="A386" s="1"/>
      <c r="B386" s="2"/>
      <c r="C386" s="1"/>
      <c r="D386" s="1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4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</row>
    <row r="387" spans="1:107" ht="23.25" customHeight="1">
      <c r="A387" s="1"/>
      <c r="B387" s="2"/>
      <c r="C387" s="1"/>
      <c r="D387" s="1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4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</row>
    <row r="388" spans="1:107" ht="23.25" customHeight="1">
      <c r="A388" s="1"/>
      <c r="B388" s="2"/>
      <c r="C388" s="1"/>
      <c r="D388" s="1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4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</row>
    <row r="389" spans="1:107" ht="23.25" customHeight="1">
      <c r="A389" s="1"/>
      <c r="B389" s="2"/>
      <c r="C389" s="1"/>
      <c r="D389" s="1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4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</row>
    <row r="390" spans="1:107" ht="23.25" customHeight="1">
      <c r="A390" s="1"/>
      <c r="B390" s="2"/>
      <c r="C390" s="1"/>
      <c r="D390" s="1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4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</row>
    <row r="391" spans="1:107" ht="23.25" customHeight="1">
      <c r="A391" s="1"/>
      <c r="B391" s="2"/>
      <c r="C391" s="1"/>
      <c r="D391" s="1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4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</row>
    <row r="392" spans="1:107" ht="23.25" customHeight="1">
      <c r="A392" s="1"/>
      <c r="B392" s="2"/>
      <c r="C392" s="1"/>
      <c r="D392" s="1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4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</row>
    <row r="393" spans="1:107" ht="23.25" customHeight="1">
      <c r="A393" s="1"/>
      <c r="B393" s="2"/>
      <c r="C393" s="1"/>
      <c r="D393" s="1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4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</row>
    <row r="394" spans="1:107" ht="23.25" customHeight="1">
      <c r="A394" s="1"/>
      <c r="B394" s="2"/>
      <c r="C394" s="1"/>
      <c r="D394" s="1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4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</row>
    <row r="395" spans="1:107" ht="23.25" customHeight="1">
      <c r="A395" s="1"/>
      <c r="B395" s="2"/>
      <c r="C395" s="1"/>
      <c r="D395" s="1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4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</row>
    <row r="396" spans="1:107" ht="23.25" customHeight="1">
      <c r="A396" s="1"/>
      <c r="B396" s="2"/>
      <c r="C396" s="1"/>
      <c r="D396" s="1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4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</row>
    <row r="397" spans="1:107" ht="23.25" customHeight="1">
      <c r="A397" s="1"/>
      <c r="B397" s="2"/>
      <c r="C397" s="1"/>
      <c r="D397" s="1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4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</row>
    <row r="398" spans="1:107" ht="23.25" customHeight="1">
      <c r="A398" s="1"/>
      <c r="B398" s="2"/>
      <c r="C398" s="1"/>
      <c r="D398" s="1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4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</row>
    <row r="399" spans="1:107" ht="23.25" customHeight="1">
      <c r="A399" s="1"/>
      <c r="B399" s="2"/>
      <c r="C399" s="1"/>
      <c r="D399" s="1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4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</row>
    <row r="400" spans="1:107" ht="23.25" customHeight="1">
      <c r="A400" s="1"/>
      <c r="B400" s="2"/>
      <c r="C400" s="1"/>
      <c r="D400" s="1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4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</row>
    <row r="401" spans="1:107" ht="23.25" customHeight="1">
      <c r="A401" s="1"/>
      <c r="B401" s="2"/>
      <c r="C401" s="1"/>
      <c r="D401" s="1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4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</row>
    <row r="402" spans="1:107" ht="23.25" customHeight="1">
      <c r="A402" s="1"/>
      <c r="B402" s="2"/>
      <c r="C402" s="1"/>
      <c r="D402" s="1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4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</row>
    <row r="403" spans="1:107" ht="23.25" customHeight="1">
      <c r="A403" s="1"/>
      <c r="B403" s="2"/>
      <c r="C403" s="1"/>
      <c r="D403" s="1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4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</row>
    <row r="404" spans="1:107" ht="23.25" customHeight="1">
      <c r="A404" s="1"/>
      <c r="B404" s="2"/>
      <c r="C404" s="1"/>
      <c r="D404" s="1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4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</row>
    <row r="405" spans="1:107" ht="23.25" customHeight="1">
      <c r="A405" s="1"/>
      <c r="B405" s="2"/>
      <c r="C405" s="1"/>
      <c r="D405" s="1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4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</row>
    <row r="406" spans="1:107" ht="23.25" customHeight="1">
      <c r="A406" s="1"/>
      <c r="B406" s="2"/>
      <c r="C406" s="1"/>
      <c r="D406" s="1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4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</row>
    <row r="407" spans="1:107" ht="23.25" customHeight="1">
      <c r="A407" s="1"/>
      <c r="B407" s="2"/>
      <c r="C407" s="1"/>
      <c r="D407" s="1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4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</row>
    <row r="408" spans="1:107" ht="23.25" customHeight="1">
      <c r="A408" s="1"/>
      <c r="B408" s="2"/>
      <c r="C408" s="1"/>
      <c r="D408" s="1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4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</row>
    <row r="409" spans="1:107" ht="23.25" customHeight="1">
      <c r="A409" s="1"/>
      <c r="B409" s="2"/>
      <c r="C409" s="1"/>
      <c r="D409" s="1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4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</row>
    <row r="410" spans="1:107" ht="23.25" customHeight="1">
      <c r="A410" s="1"/>
      <c r="B410" s="2"/>
      <c r="C410" s="1"/>
      <c r="D410" s="1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4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</row>
    <row r="411" spans="1:107" ht="23.25" customHeight="1">
      <c r="A411" s="1"/>
      <c r="B411" s="2"/>
      <c r="C411" s="1"/>
      <c r="D411" s="1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4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</row>
    <row r="412" spans="1:107" ht="23.25" customHeight="1">
      <c r="A412" s="1"/>
      <c r="B412" s="2"/>
      <c r="C412" s="1"/>
      <c r="D412" s="1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4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</row>
    <row r="413" spans="1:107" ht="23.25" customHeight="1">
      <c r="A413" s="1"/>
      <c r="B413" s="2"/>
      <c r="C413" s="1"/>
      <c r="D413" s="1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4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</row>
    <row r="414" spans="1:107" ht="23.25" customHeight="1">
      <c r="A414" s="1"/>
      <c r="B414" s="2"/>
      <c r="C414" s="1"/>
      <c r="D414" s="1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4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</row>
    <row r="415" spans="1:107" ht="23.25" customHeight="1">
      <c r="A415" s="1"/>
      <c r="B415" s="2"/>
      <c r="C415" s="1"/>
      <c r="D415" s="1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4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</row>
    <row r="416" spans="1:107" ht="23.25" customHeight="1">
      <c r="A416" s="1"/>
      <c r="B416" s="2"/>
      <c r="C416" s="1"/>
      <c r="D416" s="1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4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</row>
    <row r="417" spans="1:107" ht="23.25" customHeight="1">
      <c r="A417" s="1"/>
      <c r="B417" s="2"/>
      <c r="C417" s="1"/>
      <c r="D417" s="1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4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</row>
    <row r="418" spans="1:107" ht="23.25" customHeight="1">
      <c r="A418" s="1"/>
      <c r="B418" s="2"/>
      <c r="C418" s="1"/>
      <c r="D418" s="1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4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</row>
    <row r="419" spans="1:107" ht="23.25" customHeight="1">
      <c r="A419" s="1"/>
      <c r="B419" s="2"/>
      <c r="C419" s="1"/>
      <c r="D419" s="1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4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</row>
    <row r="420" spans="1:107" ht="23.25" customHeight="1">
      <c r="A420" s="1"/>
      <c r="B420" s="2"/>
      <c r="C420" s="1"/>
      <c r="D420" s="1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4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</row>
    <row r="421" spans="1:107" ht="23.25" customHeight="1">
      <c r="A421" s="1"/>
      <c r="B421" s="2"/>
      <c r="C421" s="1"/>
      <c r="D421" s="1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4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</row>
    <row r="422" spans="1:107" ht="23.25" customHeight="1">
      <c r="A422" s="1"/>
      <c r="B422" s="2"/>
      <c r="C422" s="1"/>
      <c r="D422" s="1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4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</row>
    <row r="423" spans="1:107" ht="23.25" customHeight="1">
      <c r="A423" s="1"/>
      <c r="B423" s="2"/>
      <c r="C423" s="1"/>
      <c r="D423" s="1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4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</row>
    <row r="424" spans="1:107" ht="23.25" customHeight="1">
      <c r="A424" s="1"/>
      <c r="B424" s="2"/>
      <c r="C424" s="1"/>
      <c r="D424" s="1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4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</row>
    <row r="425" spans="1:107" ht="23.25" customHeight="1">
      <c r="A425" s="1"/>
      <c r="B425" s="2"/>
      <c r="C425" s="1"/>
      <c r="D425" s="1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4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</row>
    <row r="426" spans="1:107" ht="23.25" customHeight="1">
      <c r="A426" s="1"/>
      <c r="B426" s="2"/>
      <c r="C426" s="1"/>
      <c r="D426" s="1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4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</row>
    <row r="427" spans="1:107" ht="23.25" customHeight="1">
      <c r="A427" s="1"/>
      <c r="B427" s="2"/>
      <c r="C427" s="1"/>
      <c r="D427" s="1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4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</row>
    <row r="428" spans="1:107" ht="23.25" customHeight="1">
      <c r="A428" s="1"/>
      <c r="B428" s="2"/>
      <c r="C428" s="1"/>
      <c r="D428" s="1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4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</row>
    <row r="429" spans="1:107" ht="23.25" customHeight="1">
      <c r="A429" s="1"/>
      <c r="B429" s="2"/>
      <c r="C429" s="1"/>
      <c r="D429" s="1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4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</row>
    <row r="430" spans="1:107" ht="23.25" customHeight="1">
      <c r="A430" s="1"/>
      <c r="B430" s="2"/>
      <c r="C430" s="1"/>
      <c r="D430" s="1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4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</row>
    <row r="431" spans="1:107" ht="23.25" customHeight="1">
      <c r="A431" s="1"/>
      <c r="B431" s="2"/>
      <c r="C431" s="1"/>
      <c r="D431" s="1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4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</row>
    <row r="432" spans="1:107" ht="23.25" customHeight="1">
      <c r="A432" s="1"/>
      <c r="B432" s="2"/>
      <c r="C432" s="1"/>
      <c r="D432" s="1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4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</row>
    <row r="433" spans="1:107" ht="23.25" customHeight="1">
      <c r="A433" s="1"/>
      <c r="B433" s="2"/>
      <c r="C433" s="1"/>
      <c r="D433" s="1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4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</row>
    <row r="434" spans="1:107" ht="23.25" customHeight="1">
      <c r="A434" s="1"/>
      <c r="B434" s="2"/>
      <c r="C434" s="1"/>
      <c r="D434" s="1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4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</row>
    <row r="435" spans="1:107" ht="23.25" customHeight="1">
      <c r="A435" s="1"/>
      <c r="B435" s="2"/>
      <c r="C435" s="1"/>
      <c r="D435" s="1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4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</row>
    <row r="436" spans="1:107" ht="23.25" customHeight="1">
      <c r="A436" s="1"/>
      <c r="B436" s="2"/>
      <c r="C436" s="1"/>
      <c r="D436" s="1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4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</row>
    <row r="437" spans="1:107" ht="23.25" customHeight="1">
      <c r="A437" s="1"/>
      <c r="B437" s="2"/>
      <c r="C437" s="1"/>
      <c r="D437" s="1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4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</row>
    <row r="438" spans="1:107" ht="23.25" customHeight="1">
      <c r="A438" s="1"/>
      <c r="B438" s="2"/>
      <c r="C438" s="1"/>
      <c r="D438" s="1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4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</row>
    <row r="439" spans="1:107" ht="23.25" customHeight="1">
      <c r="A439" s="1"/>
      <c r="B439" s="2"/>
      <c r="C439" s="1"/>
      <c r="D439" s="1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4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</row>
    <row r="440" spans="1:107" ht="23.25" customHeight="1">
      <c r="A440" s="1"/>
      <c r="B440" s="2"/>
      <c r="C440" s="1"/>
      <c r="D440" s="1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4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</row>
    <row r="441" spans="1:107" ht="23.25" customHeight="1">
      <c r="A441" s="1"/>
      <c r="B441" s="2"/>
      <c r="C441" s="1"/>
      <c r="D441" s="1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4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</row>
    <row r="442" spans="1:107" ht="23.25" customHeight="1">
      <c r="A442" s="1"/>
      <c r="B442" s="2"/>
      <c r="C442" s="1"/>
      <c r="D442" s="1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4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</row>
    <row r="443" spans="1:107" ht="23.25" customHeight="1">
      <c r="A443" s="1"/>
      <c r="B443" s="2"/>
      <c r="C443" s="1"/>
      <c r="D443" s="1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4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</row>
    <row r="444" spans="1:107" ht="23.25" customHeight="1">
      <c r="A444" s="1"/>
      <c r="B444" s="2"/>
      <c r="C444" s="1"/>
      <c r="D444" s="1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4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</row>
    <row r="445" spans="1:107" ht="23.25" customHeight="1">
      <c r="A445" s="1"/>
      <c r="B445" s="2"/>
      <c r="C445" s="1"/>
      <c r="D445" s="1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4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</row>
    <row r="446" spans="1:107" ht="23.25" customHeight="1">
      <c r="A446" s="1"/>
      <c r="B446" s="2"/>
      <c r="C446" s="1"/>
      <c r="D446" s="1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4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</row>
    <row r="447" spans="1:107" ht="23.25" customHeight="1">
      <c r="A447" s="1"/>
      <c r="B447" s="2"/>
      <c r="C447" s="1"/>
      <c r="D447" s="1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4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</row>
    <row r="448" spans="1:107" ht="23.25" customHeight="1">
      <c r="A448" s="1"/>
      <c r="B448" s="2"/>
      <c r="C448" s="1"/>
      <c r="D448" s="1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4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</row>
    <row r="449" spans="1:107" ht="23.25" customHeight="1">
      <c r="A449" s="1"/>
      <c r="B449" s="2"/>
      <c r="C449" s="1"/>
      <c r="D449" s="1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4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</row>
    <row r="450" spans="1:107" ht="23.25" customHeight="1">
      <c r="A450" s="1"/>
      <c r="B450" s="2"/>
      <c r="C450" s="1"/>
      <c r="D450" s="1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4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</row>
    <row r="451" spans="1:107" ht="23.25" customHeight="1">
      <c r="A451" s="1"/>
      <c r="B451" s="2"/>
      <c r="C451" s="1"/>
      <c r="D451" s="1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4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</row>
    <row r="452" spans="1:107" ht="23.25" customHeight="1">
      <c r="A452" s="1"/>
      <c r="B452" s="2"/>
      <c r="C452" s="1"/>
      <c r="D452" s="1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4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</row>
    <row r="453" spans="1:107" ht="23.25" customHeight="1">
      <c r="A453" s="1"/>
      <c r="B453" s="2"/>
      <c r="C453" s="1"/>
      <c r="D453" s="1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4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</row>
    <row r="454" spans="1:107" ht="23.25" customHeight="1">
      <c r="A454" s="1"/>
      <c r="B454" s="2"/>
      <c r="C454" s="1"/>
      <c r="D454" s="1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4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</row>
    <row r="455" spans="1:107" ht="23.25" customHeight="1">
      <c r="A455" s="1"/>
      <c r="B455" s="2"/>
      <c r="C455" s="1"/>
      <c r="D455" s="1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4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</row>
    <row r="456" spans="1:107" ht="23.25" customHeight="1">
      <c r="A456" s="1"/>
      <c r="B456" s="2"/>
      <c r="C456" s="1"/>
      <c r="D456" s="1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4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</row>
    <row r="457" spans="1:107" ht="23.25" customHeight="1">
      <c r="A457" s="1"/>
      <c r="B457" s="2"/>
      <c r="C457" s="1"/>
      <c r="D457" s="1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4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</row>
    <row r="458" spans="1:107" ht="23.25" customHeight="1">
      <c r="A458" s="1"/>
      <c r="B458" s="2"/>
      <c r="C458" s="1"/>
      <c r="D458" s="1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4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</row>
    <row r="459" spans="1:107" ht="23.25" customHeight="1">
      <c r="A459" s="1"/>
      <c r="B459" s="2"/>
      <c r="C459" s="1"/>
      <c r="D459" s="1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4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</row>
    <row r="460" spans="1:107" ht="23.25" customHeight="1">
      <c r="A460" s="1"/>
      <c r="B460" s="2"/>
      <c r="C460" s="1"/>
      <c r="D460" s="1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4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</row>
    <row r="461" spans="1:107" ht="23.25" customHeight="1">
      <c r="A461" s="1"/>
      <c r="B461" s="2"/>
      <c r="C461" s="1"/>
      <c r="D461" s="1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4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</row>
    <row r="462" spans="1:107" ht="23.25" customHeight="1">
      <c r="A462" s="1"/>
      <c r="B462" s="2"/>
      <c r="C462" s="1"/>
      <c r="D462" s="1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4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</row>
    <row r="463" spans="1:107" ht="23.25" customHeight="1">
      <c r="A463" s="1"/>
      <c r="B463" s="2"/>
      <c r="C463" s="1"/>
      <c r="D463" s="1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4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</row>
    <row r="464" spans="1:107" ht="23.25" customHeight="1">
      <c r="A464" s="1"/>
      <c r="B464" s="2"/>
      <c r="C464" s="1"/>
      <c r="D464" s="1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4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</row>
    <row r="465" spans="1:107" ht="23.25" customHeight="1">
      <c r="A465" s="1"/>
      <c r="B465" s="2"/>
      <c r="C465" s="1"/>
      <c r="D465" s="1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4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</row>
    <row r="466" spans="1:107" ht="23.25" customHeight="1">
      <c r="A466" s="1"/>
      <c r="B466" s="2"/>
      <c r="C466" s="1"/>
      <c r="D466" s="1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4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</row>
    <row r="467" spans="1:107" ht="23.25" customHeight="1">
      <c r="A467" s="1"/>
      <c r="B467" s="2"/>
      <c r="C467" s="1"/>
      <c r="D467" s="1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4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</row>
    <row r="468" spans="1:107" ht="23.25" customHeight="1">
      <c r="A468" s="1"/>
      <c r="B468" s="2"/>
      <c r="C468" s="1"/>
      <c r="D468" s="1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4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</row>
    <row r="469" spans="1:107" ht="23.25" customHeight="1">
      <c r="A469" s="1"/>
      <c r="B469" s="2"/>
      <c r="C469" s="1"/>
      <c r="D469" s="1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4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</row>
    <row r="470" spans="1:107" ht="23.25" customHeight="1">
      <c r="A470" s="1"/>
      <c r="B470" s="2"/>
      <c r="C470" s="1"/>
      <c r="D470" s="1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4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</row>
    <row r="471" spans="1:107" ht="23.25" customHeight="1">
      <c r="A471" s="1"/>
      <c r="B471" s="2"/>
      <c r="C471" s="1"/>
      <c r="D471" s="1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4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</row>
    <row r="472" spans="1:107" ht="23.25" customHeight="1">
      <c r="A472" s="1"/>
      <c r="B472" s="2"/>
      <c r="C472" s="1"/>
      <c r="D472" s="1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4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</row>
    <row r="473" spans="1:107" ht="23.25" customHeight="1">
      <c r="A473" s="1"/>
      <c r="B473" s="2"/>
      <c r="C473" s="1"/>
      <c r="D473" s="1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4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</row>
    <row r="474" spans="1:107" ht="23.25" customHeight="1">
      <c r="A474" s="1"/>
      <c r="B474" s="2"/>
      <c r="C474" s="1"/>
      <c r="D474" s="1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4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</row>
    <row r="475" spans="1:107" ht="23.25" customHeight="1">
      <c r="A475" s="1"/>
      <c r="B475" s="2"/>
      <c r="C475" s="1"/>
      <c r="D475" s="1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4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</row>
    <row r="476" spans="1:107" ht="23.25" customHeight="1">
      <c r="A476" s="1"/>
      <c r="B476" s="2"/>
      <c r="C476" s="1"/>
      <c r="D476" s="1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4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</row>
    <row r="477" spans="1:107" ht="23.25" customHeight="1">
      <c r="A477" s="1"/>
      <c r="B477" s="2"/>
      <c r="C477" s="1"/>
      <c r="D477" s="1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4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</row>
    <row r="478" spans="1:107" ht="23.25" customHeight="1">
      <c r="A478" s="1"/>
      <c r="B478" s="2"/>
      <c r="C478" s="1"/>
      <c r="D478" s="1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4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</row>
    <row r="479" spans="1:107" ht="23.25" customHeight="1">
      <c r="A479" s="1"/>
      <c r="B479" s="2"/>
      <c r="C479" s="1"/>
      <c r="D479" s="1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4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</row>
    <row r="480" spans="1:107" ht="23.25" customHeight="1">
      <c r="A480" s="1"/>
      <c r="B480" s="2"/>
      <c r="C480" s="1"/>
      <c r="D480" s="1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4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</row>
    <row r="481" spans="1:107" ht="23.25" customHeight="1">
      <c r="A481" s="1"/>
      <c r="B481" s="2"/>
      <c r="C481" s="1"/>
      <c r="D481" s="1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4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</row>
    <row r="482" spans="1:107" ht="23.25" customHeight="1">
      <c r="A482" s="1"/>
      <c r="B482" s="2"/>
      <c r="C482" s="1"/>
      <c r="D482" s="1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4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</row>
    <row r="483" spans="1:107" ht="23.25" customHeight="1">
      <c r="A483" s="1"/>
      <c r="B483" s="2"/>
      <c r="C483" s="1"/>
      <c r="D483" s="1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4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</row>
    <row r="484" spans="1:107" ht="23.25" customHeight="1">
      <c r="A484" s="1"/>
      <c r="B484" s="2"/>
      <c r="C484" s="1"/>
      <c r="D484" s="1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4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</row>
    <row r="485" spans="1:107" ht="23.25" customHeight="1">
      <c r="A485" s="1"/>
      <c r="B485" s="2"/>
      <c r="C485" s="1"/>
      <c r="D485" s="1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4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</row>
    <row r="486" spans="1:107" ht="23.25" customHeight="1">
      <c r="A486" s="1"/>
      <c r="B486" s="2"/>
      <c r="C486" s="1"/>
      <c r="D486" s="1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4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</row>
    <row r="487" spans="1:107" ht="23.25" customHeight="1">
      <c r="A487" s="1"/>
      <c r="B487" s="2"/>
      <c r="C487" s="1"/>
      <c r="D487" s="1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4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</row>
    <row r="488" spans="1:107" ht="23.25" customHeight="1">
      <c r="A488" s="1"/>
      <c r="B488" s="2"/>
      <c r="C488" s="1"/>
      <c r="D488" s="1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4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</row>
    <row r="489" spans="1:107" ht="23.25" customHeight="1">
      <c r="A489" s="1"/>
      <c r="B489" s="2"/>
      <c r="C489" s="1"/>
      <c r="D489" s="1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4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</row>
    <row r="490" spans="1:107" ht="23.25" customHeight="1">
      <c r="A490" s="1"/>
      <c r="B490" s="2"/>
      <c r="C490" s="1"/>
      <c r="D490" s="1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4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</row>
    <row r="491" spans="1:107" ht="23.25" customHeight="1">
      <c r="A491" s="1"/>
      <c r="B491" s="2"/>
      <c r="C491" s="1"/>
      <c r="D491" s="1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4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</row>
    <row r="492" spans="1:107" ht="23.25" customHeight="1">
      <c r="A492" s="1"/>
      <c r="B492" s="2"/>
      <c r="C492" s="1"/>
      <c r="D492" s="1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4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</row>
    <row r="493" spans="1:107" ht="23.25" customHeight="1">
      <c r="A493" s="1"/>
      <c r="B493" s="2"/>
      <c r="C493" s="1"/>
      <c r="D493" s="1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4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</row>
    <row r="494" spans="1:107" ht="23.25" customHeight="1">
      <c r="A494" s="1"/>
      <c r="B494" s="2"/>
      <c r="C494" s="1"/>
      <c r="D494" s="1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4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</row>
    <row r="495" spans="1:107" ht="23.25" customHeight="1">
      <c r="A495" s="1"/>
      <c r="B495" s="2"/>
      <c r="C495" s="1"/>
      <c r="D495" s="1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4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</row>
    <row r="496" spans="1:107" ht="23.25" customHeight="1">
      <c r="A496" s="1"/>
      <c r="B496" s="2"/>
      <c r="C496" s="1"/>
      <c r="D496" s="1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4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</row>
    <row r="497" spans="1:107" ht="23.25" customHeight="1">
      <c r="A497" s="1"/>
      <c r="B497" s="2"/>
      <c r="C497" s="1"/>
      <c r="D497" s="1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4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</row>
    <row r="498" spans="1:107" ht="23.25" customHeight="1">
      <c r="A498" s="1"/>
      <c r="B498" s="2"/>
      <c r="C498" s="1"/>
      <c r="D498" s="1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4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</row>
    <row r="499" spans="1:107" ht="23.25" customHeight="1">
      <c r="A499" s="1"/>
      <c r="B499" s="2"/>
      <c r="C499" s="1"/>
      <c r="D499" s="1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4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</row>
    <row r="500" spans="1:107" ht="23.25" customHeight="1">
      <c r="A500" s="1"/>
      <c r="B500" s="2"/>
      <c r="C500" s="1"/>
      <c r="D500" s="1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4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</row>
    <row r="501" spans="1:107" ht="23.25" customHeight="1">
      <c r="A501" s="1"/>
      <c r="B501" s="2"/>
      <c r="C501" s="1"/>
      <c r="D501" s="1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4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</row>
    <row r="502" spans="1:107" ht="23.25" customHeight="1">
      <c r="A502" s="1"/>
      <c r="B502" s="2"/>
      <c r="C502" s="1"/>
      <c r="D502" s="1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4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</row>
    <row r="503" spans="1:107" ht="23.25" customHeight="1">
      <c r="A503" s="1"/>
      <c r="B503" s="2"/>
      <c r="C503" s="1"/>
      <c r="D503" s="1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4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</row>
    <row r="504" spans="1:107" ht="23.25" customHeight="1">
      <c r="A504" s="1"/>
      <c r="B504" s="2"/>
      <c r="C504" s="1"/>
      <c r="D504" s="1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4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</row>
    <row r="505" spans="1:107" ht="23.25" customHeight="1">
      <c r="A505" s="1"/>
      <c r="B505" s="2"/>
      <c r="C505" s="1"/>
      <c r="D505" s="1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4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</row>
    <row r="506" spans="1:107" ht="23.25" customHeight="1">
      <c r="A506" s="1"/>
      <c r="B506" s="2"/>
      <c r="C506" s="1"/>
      <c r="D506" s="1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4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</row>
    <row r="507" spans="1:107" ht="23.25" customHeight="1">
      <c r="A507" s="1"/>
      <c r="B507" s="2"/>
      <c r="C507" s="1"/>
      <c r="D507" s="1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4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</row>
    <row r="508" spans="1:107" ht="23.25" customHeight="1">
      <c r="A508" s="1"/>
      <c r="B508" s="2"/>
      <c r="C508" s="1"/>
      <c r="D508" s="1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4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</row>
    <row r="509" spans="1:107" ht="23.25" customHeight="1">
      <c r="A509" s="1"/>
      <c r="B509" s="2"/>
      <c r="C509" s="1"/>
      <c r="D509" s="1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4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</row>
    <row r="510" spans="1:107" ht="23.25" customHeight="1">
      <c r="A510" s="1"/>
      <c r="B510" s="2"/>
      <c r="C510" s="1"/>
      <c r="D510" s="1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4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</row>
    <row r="511" spans="1:107" ht="23.25" customHeight="1">
      <c r="A511" s="1"/>
      <c r="B511" s="2"/>
      <c r="C511" s="1"/>
      <c r="D511" s="1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4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</row>
    <row r="512" spans="1:107" ht="23.25" customHeight="1">
      <c r="A512" s="1"/>
      <c r="B512" s="2"/>
      <c r="C512" s="1"/>
      <c r="D512" s="1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4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</row>
    <row r="513" spans="1:107" ht="23.25" customHeight="1">
      <c r="A513" s="1"/>
      <c r="B513" s="2"/>
      <c r="C513" s="1"/>
      <c r="D513" s="1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4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</row>
    <row r="514" spans="1:107" ht="23.25" customHeight="1">
      <c r="A514" s="1"/>
      <c r="B514" s="2"/>
      <c r="C514" s="1"/>
      <c r="D514" s="1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4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</row>
    <row r="515" spans="1:107" ht="23.25" customHeight="1">
      <c r="A515" s="1"/>
      <c r="B515" s="2"/>
      <c r="C515" s="1"/>
      <c r="D515" s="1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4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</row>
    <row r="516" spans="1:107" ht="23.25" customHeight="1">
      <c r="A516" s="1"/>
      <c r="B516" s="2"/>
      <c r="C516" s="1"/>
      <c r="D516" s="1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4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</row>
    <row r="517" spans="1:107" ht="23.25" customHeight="1">
      <c r="A517" s="1"/>
      <c r="B517" s="2"/>
      <c r="C517" s="1"/>
      <c r="D517" s="1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4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</row>
    <row r="518" spans="1:107" ht="23.25" customHeight="1">
      <c r="A518" s="1"/>
      <c r="B518" s="2"/>
      <c r="C518" s="1"/>
      <c r="D518" s="1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4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</row>
    <row r="519" spans="1:107" ht="23.25" customHeight="1">
      <c r="A519" s="1"/>
      <c r="B519" s="2"/>
      <c r="C519" s="1"/>
      <c r="D519" s="1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4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</row>
    <row r="520" spans="1:107" ht="23.25" customHeight="1">
      <c r="A520" s="1"/>
      <c r="B520" s="2"/>
      <c r="C520" s="1"/>
      <c r="D520" s="1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4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</row>
    <row r="521" spans="1:107" ht="23.25" customHeight="1">
      <c r="A521" s="1"/>
      <c r="B521" s="2"/>
      <c r="C521" s="1"/>
      <c r="D521" s="1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4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</row>
    <row r="522" spans="1:107" ht="23.25" customHeight="1">
      <c r="A522" s="1"/>
      <c r="B522" s="2"/>
      <c r="C522" s="1"/>
      <c r="D522" s="1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4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</row>
    <row r="523" spans="1:107" ht="23.25" customHeight="1">
      <c r="A523" s="1"/>
      <c r="B523" s="2"/>
      <c r="C523" s="1"/>
      <c r="D523" s="1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4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</row>
    <row r="524" spans="1:107" ht="23.25" customHeight="1">
      <c r="A524" s="1"/>
      <c r="B524" s="2"/>
      <c r="C524" s="1"/>
      <c r="D524" s="1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4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</row>
    <row r="525" spans="1:107" ht="23.25" customHeight="1">
      <c r="A525" s="1"/>
      <c r="B525" s="2"/>
      <c r="C525" s="1"/>
      <c r="D525" s="1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4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</row>
    <row r="526" spans="1:107" ht="23.25" customHeight="1">
      <c r="A526" s="1"/>
      <c r="B526" s="2"/>
      <c r="C526" s="1"/>
      <c r="D526" s="1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4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</row>
    <row r="527" spans="1:107" ht="23.25" customHeight="1">
      <c r="A527" s="1"/>
      <c r="B527" s="2"/>
      <c r="C527" s="1"/>
      <c r="D527" s="1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4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</row>
    <row r="528" spans="1:107" ht="23.25" customHeight="1">
      <c r="A528" s="1"/>
      <c r="B528" s="2"/>
      <c r="C528" s="1"/>
      <c r="D528" s="1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4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</row>
    <row r="529" spans="1:107" ht="23.25" customHeight="1">
      <c r="A529" s="1"/>
      <c r="B529" s="2"/>
      <c r="C529" s="1"/>
      <c r="D529" s="1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4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</row>
    <row r="530" spans="1:107" ht="23.25" customHeight="1">
      <c r="A530" s="1"/>
      <c r="B530" s="2"/>
      <c r="C530" s="1"/>
      <c r="D530" s="1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4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</row>
    <row r="531" spans="1:107" ht="23.25" customHeight="1">
      <c r="A531" s="1"/>
      <c r="B531" s="2"/>
      <c r="C531" s="1"/>
      <c r="D531" s="1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4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</row>
    <row r="532" spans="1:107" ht="23.25" customHeight="1">
      <c r="A532" s="1"/>
      <c r="B532" s="2"/>
      <c r="C532" s="1"/>
      <c r="D532" s="1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4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</row>
    <row r="533" spans="1:107" ht="23.25" customHeight="1">
      <c r="A533" s="1"/>
      <c r="B533" s="2"/>
      <c r="C533" s="1"/>
      <c r="D533" s="1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4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</row>
    <row r="534" spans="1:107" ht="23.25" customHeight="1">
      <c r="A534" s="1"/>
      <c r="B534" s="2"/>
      <c r="C534" s="1"/>
      <c r="D534" s="1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4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</row>
    <row r="535" spans="1:107" ht="23.25" customHeight="1">
      <c r="A535" s="1"/>
      <c r="B535" s="2"/>
      <c r="C535" s="1"/>
      <c r="D535" s="1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4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</row>
    <row r="536" spans="1:107" ht="23.25" customHeight="1">
      <c r="A536" s="1"/>
      <c r="B536" s="2"/>
      <c r="C536" s="1"/>
      <c r="D536" s="1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4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</row>
    <row r="537" spans="1:107" ht="23.25" customHeight="1">
      <c r="A537" s="1"/>
      <c r="B537" s="2"/>
      <c r="C537" s="1"/>
      <c r="D537" s="1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4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</row>
    <row r="538" spans="1:107" ht="23.25" customHeight="1">
      <c r="A538" s="1"/>
      <c r="B538" s="2"/>
      <c r="C538" s="1"/>
      <c r="D538" s="1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4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</row>
    <row r="539" spans="1:107" ht="23.25" customHeight="1">
      <c r="A539" s="1"/>
      <c r="B539" s="2"/>
      <c r="C539" s="1"/>
      <c r="D539" s="1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4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</row>
    <row r="540" spans="1:107" ht="23.25" customHeight="1">
      <c r="A540" s="1"/>
      <c r="B540" s="2"/>
      <c r="C540" s="1"/>
      <c r="D540" s="1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4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</row>
    <row r="541" spans="1:107" ht="23.25" customHeight="1">
      <c r="A541" s="1"/>
      <c r="B541" s="2"/>
      <c r="C541" s="1"/>
      <c r="D541" s="1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4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</row>
    <row r="542" spans="1:107" ht="23.25" customHeight="1">
      <c r="A542" s="1"/>
      <c r="B542" s="2"/>
      <c r="C542" s="1"/>
      <c r="D542" s="1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4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</row>
    <row r="543" spans="1:107" ht="23.25" customHeight="1">
      <c r="A543" s="1"/>
      <c r="B543" s="2"/>
      <c r="C543" s="1"/>
      <c r="D543" s="1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4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</row>
    <row r="544" spans="1:107" ht="23.25" customHeight="1">
      <c r="A544" s="1"/>
      <c r="B544" s="2"/>
      <c r="C544" s="1"/>
      <c r="D544" s="1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4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</row>
    <row r="545" spans="1:107" ht="23.25" customHeight="1">
      <c r="A545" s="1"/>
      <c r="B545" s="2"/>
      <c r="C545" s="1"/>
      <c r="D545" s="1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4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</row>
    <row r="546" spans="1:107" ht="23.25" customHeight="1">
      <c r="A546" s="1"/>
      <c r="B546" s="2"/>
      <c r="C546" s="1"/>
      <c r="D546" s="1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4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</row>
    <row r="547" spans="1:107" ht="23.25" customHeight="1">
      <c r="A547" s="1"/>
      <c r="B547" s="2"/>
      <c r="C547" s="1"/>
      <c r="D547" s="1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4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</row>
    <row r="548" spans="1:107" ht="23.25" customHeight="1">
      <c r="A548" s="1"/>
      <c r="B548" s="2"/>
      <c r="C548" s="1"/>
      <c r="D548" s="1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4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</row>
    <row r="549" spans="1:107" ht="23.25" customHeight="1">
      <c r="A549" s="1"/>
      <c r="B549" s="2"/>
      <c r="C549" s="1"/>
      <c r="D549" s="1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4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</row>
    <row r="550" spans="1:107" ht="23.25" customHeight="1">
      <c r="A550" s="1"/>
      <c r="B550" s="2"/>
      <c r="C550" s="1"/>
      <c r="D550" s="1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4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</row>
    <row r="551" spans="1:107" ht="23.25" customHeight="1">
      <c r="A551" s="1"/>
      <c r="B551" s="2"/>
      <c r="C551" s="1"/>
      <c r="D551" s="1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4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</row>
    <row r="552" spans="1:107" ht="23.25" customHeight="1">
      <c r="A552" s="1"/>
      <c r="B552" s="2"/>
      <c r="C552" s="1"/>
      <c r="D552" s="1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4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</row>
    <row r="553" spans="1:107" ht="23.25" customHeight="1">
      <c r="A553" s="1"/>
      <c r="B553" s="2"/>
      <c r="C553" s="1"/>
      <c r="D553" s="1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4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</row>
    <row r="554" spans="1:107" ht="23.25" customHeight="1">
      <c r="A554" s="1"/>
      <c r="B554" s="2"/>
      <c r="C554" s="1"/>
      <c r="D554" s="1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4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</row>
    <row r="555" spans="1:107" ht="23.25" customHeight="1">
      <c r="A555" s="1"/>
      <c r="B555" s="2"/>
      <c r="C555" s="1"/>
      <c r="D555" s="1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4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</row>
    <row r="556" spans="1:107" ht="23.25" customHeight="1">
      <c r="A556" s="1"/>
      <c r="B556" s="2"/>
      <c r="C556" s="1"/>
      <c r="D556" s="1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4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</row>
    <row r="557" spans="1:107" ht="23.25" customHeight="1">
      <c r="A557" s="1"/>
      <c r="B557" s="2"/>
      <c r="C557" s="1"/>
      <c r="D557" s="1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4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</row>
    <row r="558" spans="1:107" ht="23.25" customHeight="1">
      <c r="A558" s="1"/>
      <c r="B558" s="2"/>
      <c r="C558" s="1"/>
      <c r="D558" s="1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4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</row>
    <row r="559" spans="1:107" ht="23.25" customHeight="1">
      <c r="A559" s="1"/>
      <c r="B559" s="2"/>
      <c r="C559" s="1"/>
      <c r="D559" s="1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4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</row>
    <row r="560" spans="1:107" ht="23.25" customHeight="1">
      <c r="A560" s="1"/>
      <c r="B560" s="2"/>
      <c r="C560" s="1"/>
      <c r="D560" s="1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4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</row>
    <row r="561" spans="1:107" ht="23.25" customHeight="1">
      <c r="A561" s="1"/>
      <c r="B561" s="2"/>
      <c r="C561" s="1"/>
      <c r="D561" s="1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4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</row>
    <row r="562" spans="1:107" ht="23.25" customHeight="1">
      <c r="A562" s="1"/>
      <c r="B562" s="2"/>
      <c r="C562" s="1"/>
      <c r="D562" s="1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4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</row>
    <row r="563" spans="1:107" ht="23.25" customHeight="1">
      <c r="A563" s="1"/>
      <c r="B563" s="2"/>
      <c r="C563" s="1"/>
      <c r="D563" s="1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4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</row>
    <row r="564" spans="1:107" ht="23.25" customHeight="1">
      <c r="A564" s="1"/>
      <c r="B564" s="2"/>
      <c r="C564" s="1"/>
      <c r="D564" s="1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4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</row>
    <row r="565" spans="1:107" ht="23.25" customHeight="1">
      <c r="A565" s="1"/>
      <c r="B565" s="2"/>
      <c r="C565" s="1"/>
      <c r="D565" s="1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4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</row>
    <row r="566" spans="1:107" ht="23.25" customHeight="1">
      <c r="A566" s="1"/>
      <c r="B566" s="2"/>
      <c r="C566" s="1"/>
      <c r="D566" s="1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4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</row>
    <row r="567" spans="1:107" ht="23.25" customHeight="1">
      <c r="A567" s="1"/>
      <c r="B567" s="2"/>
      <c r="C567" s="1"/>
      <c r="D567" s="1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4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</row>
    <row r="568" spans="1:107" ht="23.25" customHeight="1">
      <c r="A568" s="1"/>
      <c r="B568" s="2"/>
      <c r="C568" s="1"/>
      <c r="D568" s="1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4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</row>
    <row r="569" spans="1:107" ht="23.25" customHeight="1">
      <c r="A569" s="1"/>
      <c r="B569" s="2"/>
      <c r="C569" s="1"/>
      <c r="D569" s="1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4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</row>
    <row r="570" spans="1:107" ht="23.25" customHeight="1">
      <c r="A570" s="1"/>
      <c r="B570" s="2"/>
      <c r="C570" s="1"/>
      <c r="D570" s="1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4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</row>
    <row r="571" spans="1:107" ht="23.25" customHeight="1">
      <c r="A571" s="1"/>
      <c r="B571" s="2"/>
      <c r="C571" s="1"/>
      <c r="D571" s="1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4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</row>
    <row r="572" spans="1:107" ht="23.25" customHeight="1">
      <c r="A572" s="1"/>
      <c r="B572" s="2"/>
      <c r="C572" s="1"/>
      <c r="D572" s="1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4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</row>
    <row r="573" spans="1:107" ht="23.25" customHeight="1">
      <c r="A573" s="1"/>
      <c r="B573" s="2"/>
      <c r="C573" s="1"/>
      <c r="D573" s="1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4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</row>
    <row r="574" spans="1:107" ht="23.25" customHeight="1">
      <c r="A574" s="1"/>
      <c r="B574" s="2"/>
      <c r="C574" s="1"/>
      <c r="D574" s="1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4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</row>
    <row r="575" spans="1:107" ht="23.25" customHeight="1">
      <c r="A575" s="1"/>
      <c r="B575" s="2"/>
      <c r="C575" s="1"/>
      <c r="D575" s="1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4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</row>
    <row r="576" spans="1:107" ht="23.25" customHeight="1">
      <c r="A576" s="1"/>
      <c r="B576" s="2"/>
      <c r="C576" s="1"/>
      <c r="D576" s="1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4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</row>
    <row r="577" spans="1:107" ht="23.25" customHeight="1">
      <c r="A577" s="1"/>
      <c r="B577" s="2"/>
      <c r="C577" s="1"/>
      <c r="D577" s="1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4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</row>
    <row r="578" spans="1:107" ht="23.25" customHeight="1">
      <c r="A578" s="1"/>
      <c r="B578" s="2"/>
      <c r="C578" s="1"/>
      <c r="D578" s="1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4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</row>
    <row r="579" spans="1:107" ht="23.25" customHeight="1">
      <c r="A579" s="1"/>
      <c r="B579" s="2"/>
      <c r="C579" s="1"/>
      <c r="D579" s="1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4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</row>
    <row r="580" spans="1:107" ht="23.25" customHeight="1">
      <c r="A580" s="1"/>
      <c r="B580" s="2"/>
      <c r="C580" s="1"/>
      <c r="D580" s="1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4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</row>
    <row r="581" spans="1:107" ht="23.25" customHeight="1">
      <c r="A581" s="1"/>
      <c r="B581" s="2"/>
      <c r="C581" s="1"/>
      <c r="D581" s="1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4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</row>
    <row r="582" spans="1:107" ht="23.25" customHeight="1">
      <c r="A582" s="1"/>
      <c r="B582" s="2"/>
      <c r="C582" s="1"/>
      <c r="D582" s="1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4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</row>
    <row r="583" spans="1:107" ht="23.25" customHeight="1">
      <c r="A583" s="1"/>
      <c r="B583" s="2"/>
      <c r="C583" s="1"/>
      <c r="D583" s="1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4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</row>
    <row r="584" spans="1:107" ht="23.25" customHeight="1">
      <c r="A584" s="1"/>
      <c r="B584" s="2"/>
      <c r="C584" s="1"/>
      <c r="D584" s="1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4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</row>
    <row r="585" spans="1:107" ht="23.25" customHeight="1">
      <c r="A585" s="1"/>
      <c r="B585" s="2"/>
      <c r="C585" s="1"/>
      <c r="D585" s="1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4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</row>
    <row r="586" spans="1:107" ht="23.25" customHeight="1">
      <c r="A586" s="1"/>
      <c r="B586" s="2"/>
      <c r="C586" s="1"/>
      <c r="D586" s="1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4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</row>
    <row r="587" spans="1:107" ht="23.25" customHeight="1">
      <c r="A587" s="1"/>
      <c r="B587" s="2"/>
      <c r="C587" s="1"/>
      <c r="D587" s="1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4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</row>
    <row r="588" spans="1:107" ht="23.25" customHeight="1">
      <c r="A588" s="1"/>
      <c r="B588" s="2"/>
      <c r="C588" s="1"/>
      <c r="D588" s="1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4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</row>
    <row r="589" spans="1:107" ht="23.25" customHeight="1">
      <c r="A589" s="1"/>
      <c r="B589" s="2"/>
      <c r="C589" s="1"/>
      <c r="D589" s="1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4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</row>
    <row r="590" spans="1:107" ht="23.25" customHeight="1">
      <c r="A590" s="1"/>
      <c r="B590" s="2"/>
      <c r="C590" s="1"/>
      <c r="D590" s="1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4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</row>
    <row r="591" spans="1:107" ht="23.25" customHeight="1">
      <c r="A591" s="1"/>
      <c r="B591" s="2"/>
      <c r="C591" s="1"/>
      <c r="D591" s="1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4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</row>
    <row r="592" spans="1:107" ht="23.25" customHeight="1">
      <c r="A592" s="1"/>
      <c r="B592" s="2"/>
      <c r="C592" s="1"/>
      <c r="D592" s="1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4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</row>
    <row r="593" spans="1:107" ht="23.25" customHeight="1">
      <c r="A593" s="1"/>
      <c r="B593" s="2"/>
      <c r="C593" s="1"/>
      <c r="D593" s="1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4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</row>
    <row r="594" spans="1:107" ht="23.25" customHeight="1">
      <c r="A594" s="1"/>
      <c r="B594" s="2"/>
      <c r="C594" s="1"/>
      <c r="D594" s="1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4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</row>
    <row r="595" spans="1:107" ht="23.25" customHeight="1">
      <c r="A595" s="1"/>
      <c r="B595" s="2"/>
      <c r="C595" s="1"/>
      <c r="D595" s="1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4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</row>
    <row r="596" spans="1:107" ht="23.25" customHeight="1">
      <c r="A596" s="1"/>
      <c r="B596" s="2"/>
      <c r="C596" s="1"/>
      <c r="D596" s="1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4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</row>
    <row r="597" spans="1:107" ht="23.25" customHeight="1">
      <c r="A597" s="1"/>
      <c r="B597" s="2"/>
      <c r="C597" s="1"/>
      <c r="D597" s="1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4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</row>
    <row r="598" spans="1:107" ht="23.25" customHeight="1">
      <c r="A598" s="1"/>
      <c r="B598" s="2"/>
      <c r="C598" s="1"/>
      <c r="D598" s="1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4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</row>
    <row r="599" spans="1:107" ht="23.25" customHeight="1">
      <c r="A599" s="1"/>
      <c r="B599" s="2"/>
      <c r="C599" s="1"/>
      <c r="D599" s="1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4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</row>
    <row r="600" spans="1:107" ht="23.25" customHeight="1">
      <c r="A600" s="1"/>
      <c r="B600" s="2"/>
      <c r="C600" s="1"/>
      <c r="D600" s="1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4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</row>
    <row r="601" spans="1:107" ht="23.25" customHeight="1">
      <c r="A601" s="1"/>
      <c r="B601" s="2"/>
      <c r="C601" s="1"/>
      <c r="D601" s="1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4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</row>
    <row r="602" spans="1:107" ht="23.25" customHeight="1">
      <c r="A602" s="1"/>
      <c r="B602" s="2"/>
      <c r="C602" s="1"/>
      <c r="D602" s="1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4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</row>
    <row r="603" spans="1:107" ht="23.25" customHeight="1">
      <c r="A603" s="1"/>
      <c r="B603" s="2"/>
      <c r="C603" s="1"/>
      <c r="D603" s="1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4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</row>
    <row r="604" spans="1:107" ht="23.25" customHeight="1">
      <c r="A604" s="1"/>
      <c r="B604" s="2"/>
      <c r="C604" s="1"/>
      <c r="D604" s="1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4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</row>
    <row r="605" spans="1:107" ht="23.25" customHeight="1">
      <c r="A605" s="1"/>
      <c r="B605" s="2"/>
      <c r="C605" s="1"/>
      <c r="D605" s="1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4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</row>
    <row r="606" spans="1:107" ht="23.25" customHeight="1">
      <c r="A606" s="1"/>
      <c r="B606" s="2"/>
      <c r="C606" s="1"/>
      <c r="D606" s="1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4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</row>
    <row r="607" spans="1:107" ht="23.25" customHeight="1">
      <c r="A607" s="1"/>
      <c r="B607" s="2"/>
      <c r="C607" s="1"/>
      <c r="D607" s="1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4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</row>
    <row r="608" spans="1:107" ht="23.25" customHeight="1">
      <c r="A608" s="1"/>
      <c r="B608" s="2"/>
      <c r="C608" s="1"/>
      <c r="D608" s="1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4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</row>
    <row r="609" spans="1:107" ht="23.25" customHeight="1">
      <c r="A609" s="1"/>
      <c r="B609" s="2"/>
      <c r="C609" s="1"/>
      <c r="D609" s="1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4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</row>
    <row r="610" spans="1:107" ht="23.25" customHeight="1">
      <c r="A610" s="1"/>
      <c r="B610" s="2"/>
      <c r="C610" s="1"/>
      <c r="D610" s="1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4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</row>
    <row r="611" spans="1:107" ht="23.25" customHeight="1">
      <c r="A611" s="1"/>
      <c r="B611" s="2"/>
      <c r="C611" s="1"/>
      <c r="D611" s="1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4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</row>
    <row r="612" spans="1:107" ht="23.25" customHeight="1">
      <c r="A612" s="1"/>
      <c r="B612" s="2"/>
      <c r="C612" s="1"/>
      <c r="D612" s="1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4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</row>
    <row r="613" spans="1:107" ht="23.25" customHeight="1">
      <c r="A613" s="1"/>
      <c r="B613" s="2"/>
      <c r="C613" s="1"/>
      <c r="D613" s="1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4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</row>
    <row r="614" spans="1:107" ht="23.25" customHeight="1">
      <c r="A614" s="1"/>
      <c r="B614" s="2"/>
      <c r="C614" s="1"/>
      <c r="D614" s="1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4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</row>
    <row r="615" spans="1:107" ht="23.25" customHeight="1">
      <c r="A615" s="1"/>
      <c r="B615" s="2"/>
      <c r="C615" s="1"/>
      <c r="D615" s="1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4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</row>
    <row r="616" spans="1:107" ht="23.25" customHeight="1">
      <c r="A616" s="1"/>
      <c r="B616" s="2"/>
      <c r="C616" s="1"/>
      <c r="D616" s="1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4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</row>
    <row r="617" spans="1:107" ht="23.25" customHeight="1">
      <c r="A617" s="1"/>
      <c r="B617" s="2"/>
      <c r="C617" s="1"/>
      <c r="D617" s="1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4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</row>
    <row r="618" spans="1:107" ht="23.25" customHeight="1">
      <c r="A618" s="1"/>
      <c r="B618" s="2"/>
      <c r="C618" s="1"/>
      <c r="D618" s="1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4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</row>
    <row r="619" spans="1:107" ht="23.25" customHeight="1">
      <c r="A619" s="1"/>
      <c r="B619" s="2"/>
      <c r="C619" s="1"/>
      <c r="D619" s="1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4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</row>
    <row r="620" spans="1:107" ht="23.25" customHeight="1">
      <c r="A620" s="1"/>
      <c r="B620" s="2"/>
      <c r="C620" s="1"/>
      <c r="D620" s="1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4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</row>
    <row r="621" spans="1:107" ht="23.25" customHeight="1">
      <c r="A621" s="1"/>
      <c r="B621" s="2"/>
      <c r="C621" s="1"/>
      <c r="D621" s="1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4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</row>
    <row r="622" spans="1:107" ht="23.25" customHeight="1">
      <c r="A622" s="1"/>
      <c r="B622" s="2"/>
      <c r="C622" s="1"/>
      <c r="D622" s="1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4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</row>
    <row r="623" spans="1:107" ht="23.25" customHeight="1">
      <c r="A623" s="1"/>
      <c r="B623" s="2"/>
      <c r="C623" s="1"/>
      <c r="D623" s="1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4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</row>
    <row r="624" spans="1:107" ht="23.25" customHeight="1">
      <c r="A624" s="1"/>
      <c r="B624" s="2"/>
      <c r="C624" s="1"/>
      <c r="D624" s="1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4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</row>
    <row r="625" spans="1:107" ht="23.25" customHeight="1">
      <c r="A625" s="1"/>
      <c r="B625" s="2"/>
      <c r="C625" s="1"/>
      <c r="D625" s="1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4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</row>
    <row r="626" spans="1:107" ht="23.25" customHeight="1">
      <c r="A626" s="1"/>
      <c r="B626" s="2"/>
      <c r="C626" s="1"/>
      <c r="D626" s="1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4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</row>
    <row r="627" spans="1:107" ht="23.25" customHeight="1">
      <c r="A627" s="1"/>
      <c r="B627" s="2"/>
      <c r="C627" s="1"/>
      <c r="D627" s="1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4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</row>
    <row r="628" spans="1:107" ht="23.25" customHeight="1">
      <c r="A628" s="1"/>
      <c r="B628" s="2"/>
      <c r="C628" s="1"/>
      <c r="D628" s="1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4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</row>
    <row r="629" spans="1:107" ht="23.25" customHeight="1">
      <c r="A629" s="1"/>
      <c r="B629" s="2"/>
      <c r="C629" s="1"/>
      <c r="D629" s="1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4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</row>
    <row r="630" spans="1:107" ht="23.25" customHeight="1">
      <c r="A630" s="1"/>
      <c r="B630" s="2"/>
      <c r="C630" s="1"/>
      <c r="D630" s="1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4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</row>
    <row r="631" spans="1:107" ht="23.25" customHeight="1">
      <c r="A631" s="1"/>
      <c r="B631" s="2"/>
      <c r="C631" s="1"/>
      <c r="D631" s="1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4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</row>
    <row r="632" spans="1:107" ht="23.25" customHeight="1">
      <c r="A632" s="1"/>
      <c r="B632" s="2"/>
      <c r="C632" s="1"/>
      <c r="D632" s="1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4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</row>
    <row r="633" spans="1:107" ht="23.25" customHeight="1">
      <c r="A633" s="1"/>
      <c r="B633" s="2"/>
      <c r="C633" s="1"/>
      <c r="D633" s="1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4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</row>
    <row r="634" spans="1:107" ht="23.25" customHeight="1">
      <c r="A634" s="1"/>
      <c r="B634" s="2"/>
      <c r="C634" s="1"/>
      <c r="D634" s="1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4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</row>
    <row r="635" spans="1:107" ht="23.25" customHeight="1">
      <c r="A635" s="1"/>
      <c r="B635" s="2"/>
      <c r="C635" s="1"/>
      <c r="D635" s="1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4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</row>
    <row r="636" spans="1:107" ht="23.25" customHeight="1">
      <c r="A636" s="1"/>
      <c r="B636" s="2"/>
      <c r="C636" s="1"/>
      <c r="D636" s="1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4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</row>
    <row r="637" spans="1:107" ht="23.25" customHeight="1">
      <c r="A637" s="1"/>
      <c r="B637" s="2"/>
      <c r="C637" s="1"/>
      <c r="D637" s="1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4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</row>
    <row r="638" spans="1:107" ht="23.25" customHeight="1">
      <c r="A638" s="1"/>
      <c r="B638" s="2"/>
      <c r="C638" s="1"/>
      <c r="D638" s="1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4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</row>
    <row r="639" spans="1:107" ht="23.25" customHeight="1">
      <c r="A639" s="1"/>
      <c r="B639" s="2"/>
      <c r="C639" s="1"/>
      <c r="D639" s="1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4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</row>
    <row r="640" spans="1:107" ht="23.25" customHeight="1">
      <c r="A640" s="1"/>
      <c r="B640" s="2"/>
      <c r="C640" s="1"/>
      <c r="D640" s="1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4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</row>
    <row r="641" spans="1:107" ht="23.25" customHeight="1">
      <c r="A641" s="1"/>
      <c r="B641" s="2"/>
      <c r="C641" s="1"/>
      <c r="D641" s="1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4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</row>
    <row r="642" spans="1:107" ht="23.25" customHeight="1">
      <c r="A642" s="1"/>
      <c r="B642" s="2"/>
      <c r="C642" s="1"/>
      <c r="D642" s="1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4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</row>
    <row r="643" spans="1:107" ht="23.25" customHeight="1">
      <c r="A643" s="1"/>
      <c r="B643" s="2"/>
      <c r="C643" s="1"/>
      <c r="D643" s="1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4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</row>
    <row r="644" spans="1:107" ht="23.25" customHeight="1">
      <c r="A644" s="1"/>
      <c r="B644" s="2"/>
      <c r="C644" s="1"/>
      <c r="D644" s="1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4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</row>
    <row r="645" spans="1:107" ht="23.25" customHeight="1">
      <c r="A645" s="1"/>
      <c r="B645" s="2"/>
      <c r="C645" s="1"/>
      <c r="D645" s="1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4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</row>
    <row r="646" spans="1:107" ht="23.25" customHeight="1">
      <c r="A646" s="1"/>
      <c r="B646" s="2"/>
      <c r="C646" s="1"/>
      <c r="D646" s="1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4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</row>
    <row r="647" spans="1:107" ht="23.25" customHeight="1">
      <c r="A647" s="1"/>
      <c r="B647" s="2"/>
      <c r="C647" s="1"/>
      <c r="D647" s="1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4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</row>
    <row r="648" spans="1:107" ht="23.25" customHeight="1">
      <c r="A648" s="1"/>
      <c r="B648" s="2"/>
      <c r="C648" s="1"/>
      <c r="D648" s="1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4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</row>
    <row r="649" spans="1:107" ht="23.25" customHeight="1">
      <c r="A649" s="1"/>
      <c r="B649" s="2"/>
      <c r="C649" s="1"/>
      <c r="D649" s="1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4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</row>
    <row r="650" spans="1:107" ht="23.25" customHeight="1">
      <c r="A650" s="1"/>
      <c r="B650" s="2"/>
      <c r="C650" s="1"/>
      <c r="D650" s="1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4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</row>
    <row r="651" spans="1:107" ht="23.25" customHeight="1">
      <c r="A651" s="1"/>
      <c r="B651" s="2"/>
      <c r="C651" s="1"/>
      <c r="D651" s="1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4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</row>
    <row r="652" spans="1:107" ht="23.25" customHeight="1">
      <c r="A652" s="1"/>
      <c r="B652" s="2"/>
      <c r="C652" s="1"/>
      <c r="D652" s="1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4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</row>
    <row r="653" spans="1:107" ht="23.25" customHeight="1">
      <c r="A653" s="1"/>
      <c r="B653" s="2"/>
      <c r="C653" s="1"/>
      <c r="D653" s="1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4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</row>
    <row r="654" spans="1:107" ht="23.25" customHeight="1">
      <c r="A654" s="1"/>
      <c r="B654" s="2"/>
      <c r="C654" s="1"/>
      <c r="D654" s="1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4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</row>
    <row r="655" spans="1:107" ht="23.25" customHeight="1">
      <c r="A655" s="1"/>
      <c r="B655" s="2"/>
      <c r="C655" s="1"/>
      <c r="D655" s="1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4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</row>
    <row r="656" spans="1:107" ht="23.25" customHeight="1">
      <c r="A656" s="1"/>
      <c r="B656" s="2"/>
      <c r="C656" s="1"/>
      <c r="D656" s="1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4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</row>
    <row r="657" spans="1:107" ht="23.25" customHeight="1">
      <c r="A657" s="1"/>
      <c r="B657" s="2"/>
      <c r="C657" s="1"/>
      <c r="D657" s="1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4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</row>
    <row r="658" spans="1:107" ht="23.25" customHeight="1">
      <c r="A658" s="1"/>
      <c r="B658" s="2"/>
      <c r="C658" s="1"/>
      <c r="D658" s="1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4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</row>
    <row r="659" spans="1:107" ht="23.25" customHeight="1">
      <c r="A659" s="1"/>
      <c r="B659" s="2"/>
      <c r="C659" s="1"/>
      <c r="D659" s="1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4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</row>
    <row r="660" spans="1:107" ht="23.25" customHeight="1">
      <c r="A660" s="1"/>
      <c r="B660" s="2"/>
      <c r="C660" s="1"/>
      <c r="D660" s="1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4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</row>
    <row r="661" spans="1:107" ht="23.25" customHeight="1">
      <c r="A661" s="1"/>
      <c r="B661" s="2"/>
      <c r="C661" s="1"/>
      <c r="D661" s="1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4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</row>
    <row r="662" spans="1:107" ht="23.25" customHeight="1">
      <c r="A662" s="1"/>
      <c r="B662" s="2"/>
      <c r="C662" s="1"/>
      <c r="D662" s="1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4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</row>
    <row r="663" spans="1:107" ht="23.25" customHeight="1">
      <c r="A663" s="1"/>
      <c r="B663" s="2"/>
      <c r="C663" s="1"/>
      <c r="D663" s="1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4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</row>
    <row r="664" spans="1:107" ht="23.25" customHeight="1">
      <c r="A664" s="1"/>
      <c r="B664" s="2"/>
      <c r="C664" s="1"/>
      <c r="D664" s="1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4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</row>
    <row r="665" spans="1:107" ht="23.25" customHeight="1">
      <c r="A665" s="1"/>
      <c r="B665" s="2"/>
      <c r="C665" s="1"/>
      <c r="D665" s="1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4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</row>
    <row r="666" spans="1:107" ht="23.25" customHeight="1">
      <c r="A666" s="1"/>
      <c r="B666" s="2"/>
      <c r="C666" s="1"/>
      <c r="D666" s="1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4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</row>
    <row r="667" spans="1:107" ht="23.25" customHeight="1">
      <c r="A667" s="1"/>
      <c r="B667" s="2"/>
      <c r="C667" s="1"/>
      <c r="D667" s="1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4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</row>
    <row r="668" spans="1:107" ht="23.25" customHeight="1">
      <c r="A668" s="1"/>
      <c r="B668" s="2"/>
      <c r="C668" s="1"/>
      <c r="D668" s="1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4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</row>
    <row r="669" spans="1:107" ht="23.25" customHeight="1">
      <c r="A669" s="1"/>
      <c r="B669" s="2"/>
      <c r="C669" s="1"/>
      <c r="D669" s="1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4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</row>
    <row r="670" spans="1:107" ht="23.25" customHeight="1">
      <c r="A670" s="1"/>
      <c r="B670" s="2"/>
      <c r="C670" s="1"/>
      <c r="D670" s="1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4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</row>
    <row r="671" spans="1:107" ht="23.25" customHeight="1">
      <c r="A671" s="1"/>
      <c r="B671" s="2"/>
      <c r="C671" s="1"/>
      <c r="D671" s="1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4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</row>
    <row r="672" spans="1:107" ht="23.25" customHeight="1">
      <c r="A672" s="1"/>
      <c r="B672" s="2"/>
      <c r="C672" s="1"/>
      <c r="D672" s="1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4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</row>
    <row r="673" spans="1:107" ht="23.25" customHeight="1">
      <c r="A673" s="1"/>
      <c r="B673" s="2"/>
      <c r="C673" s="1"/>
      <c r="D673" s="1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4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</row>
    <row r="674" spans="1:107" ht="23.25" customHeight="1">
      <c r="A674" s="1"/>
      <c r="B674" s="2"/>
      <c r="C674" s="1"/>
      <c r="D674" s="1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4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</row>
    <row r="675" spans="1:107" ht="23.25" customHeight="1">
      <c r="A675" s="1"/>
      <c r="B675" s="2"/>
      <c r="C675" s="1"/>
      <c r="D675" s="1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4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</row>
    <row r="676" spans="1:107" ht="23.25" customHeight="1">
      <c r="A676" s="1"/>
      <c r="B676" s="2"/>
      <c r="C676" s="1"/>
      <c r="D676" s="1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4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</row>
    <row r="677" spans="1:107" ht="23.25" customHeight="1">
      <c r="A677" s="1"/>
      <c r="B677" s="2"/>
      <c r="C677" s="1"/>
      <c r="D677" s="1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4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</row>
    <row r="678" spans="1:107" ht="23.25" customHeight="1">
      <c r="A678" s="1"/>
      <c r="B678" s="2"/>
      <c r="C678" s="1"/>
      <c r="D678" s="1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4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</row>
    <row r="679" spans="1:107" ht="23.25" customHeight="1">
      <c r="A679" s="1"/>
      <c r="B679" s="2"/>
      <c r="C679" s="1"/>
      <c r="D679" s="1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4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</row>
    <row r="680" spans="1:107" ht="23.25" customHeight="1">
      <c r="A680" s="1"/>
      <c r="B680" s="2"/>
      <c r="C680" s="1"/>
      <c r="D680" s="1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4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</row>
    <row r="681" spans="1:107" ht="23.25" customHeight="1">
      <c r="A681" s="1"/>
      <c r="B681" s="2"/>
      <c r="C681" s="1"/>
      <c r="D681" s="1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4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</row>
    <row r="682" spans="1:107" ht="23.25" customHeight="1">
      <c r="A682" s="1"/>
      <c r="B682" s="2"/>
      <c r="C682" s="1"/>
      <c r="D682" s="1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4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</row>
    <row r="683" spans="1:107" ht="23.25" customHeight="1">
      <c r="A683" s="1"/>
      <c r="B683" s="2"/>
      <c r="C683" s="1"/>
      <c r="D683" s="1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4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</row>
    <row r="684" spans="1:107" ht="23.25" customHeight="1">
      <c r="A684" s="1"/>
      <c r="B684" s="2"/>
      <c r="C684" s="1"/>
      <c r="D684" s="1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4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</row>
    <row r="685" spans="1:107" ht="23.25" customHeight="1">
      <c r="A685" s="1"/>
      <c r="B685" s="2"/>
      <c r="C685" s="1"/>
      <c r="D685" s="1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4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</row>
    <row r="686" spans="1:107" ht="23.25" customHeight="1">
      <c r="A686" s="1"/>
      <c r="B686" s="2"/>
      <c r="C686" s="1"/>
      <c r="D686" s="1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4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</row>
    <row r="687" spans="1:107" ht="23.25" customHeight="1">
      <c r="A687" s="1"/>
      <c r="B687" s="2"/>
      <c r="C687" s="1"/>
      <c r="D687" s="1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4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</row>
    <row r="688" spans="1:107" ht="23.25" customHeight="1">
      <c r="A688" s="1"/>
      <c r="B688" s="2"/>
      <c r="C688" s="1"/>
      <c r="D688" s="1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4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</row>
    <row r="689" spans="1:107" ht="23.25" customHeight="1">
      <c r="A689" s="1"/>
      <c r="B689" s="2"/>
      <c r="C689" s="1"/>
      <c r="D689" s="1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4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</row>
    <row r="690" spans="1:107" ht="23.25" customHeight="1">
      <c r="A690" s="1"/>
      <c r="B690" s="2"/>
      <c r="C690" s="1"/>
      <c r="D690" s="1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4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</row>
    <row r="691" spans="1:107" ht="23.25" customHeight="1">
      <c r="A691" s="1"/>
      <c r="B691" s="2"/>
      <c r="C691" s="1"/>
      <c r="D691" s="1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4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</row>
    <row r="692" spans="1:107" ht="23.25" customHeight="1">
      <c r="A692" s="1"/>
      <c r="B692" s="2"/>
      <c r="C692" s="1"/>
      <c r="D692" s="1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4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</row>
    <row r="693" spans="1:107" ht="23.25" customHeight="1">
      <c r="A693" s="1"/>
      <c r="B693" s="2"/>
      <c r="C693" s="1"/>
      <c r="D693" s="1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4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</row>
    <row r="694" spans="1:107" ht="23.25" customHeight="1">
      <c r="A694" s="1"/>
      <c r="B694" s="2"/>
      <c r="C694" s="1"/>
      <c r="D694" s="1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4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</row>
    <row r="695" spans="1:107" ht="23.25" customHeight="1">
      <c r="A695" s="1"/>
      <c r="B695" s="2"/>
      <c r="C695" s="1"/>
      <c r="D695" s="1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4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</row>
    <row r="696" spans="1:107" ht="23.25" customHeight="1">
      <c r="A696" s="1"/>
      <c r="B696" s="2"/>
      <c r="C696" s="1"/>
      <c r="D696" s="1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4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</row>
    <row r="697" spans="1:107" ht="23.25" customHeight="1">
      <c r="A697" s="1"/>
      <c r="B697" s="2"/>
      <c r="C697" s="1"/>
      <c r="D697" s="1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4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</row>
    <row r="698" spans="1:107" ht="23.25" customHeight="1">
      <c r="A698" s="1"/>
      <c r="B698" s="2"/>
      <c r="C698" s="1"/>
      <c r="D698" s="1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4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</row>
    <row r="699" spans="1:107" ht="23.25" customHeight="1">
      <c r="A699" s="1"/>
      <c r="B699" s="2"/>
      <c r="C699" s="1"/>
      <c r="D699" s="1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4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</row>
    <row r="700" spans="1:107" ht="23.25" customHeight="1">
      <c r="A700" s="1"/>
      <c r="B700" s="2"/>
      <c r="C700" s="1"/>
      <c r="D700" s="1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4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</row>
    <row r="701" spans="1:107" ht="23.25" customHeight="1">
      <c r="A701" s="1"/>
      <c r="B701" s="2"/>
      <c r="C701" s="1"/>
      <c r="D701" s="1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4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</row>
    <row r="702" spans="1:107" ht="23.25" customHeight="1">
      <c r="A702" s="1"/>
      <c r="B702" s="2"/>
      <c r="C702" s="1"/>
      <c r="D702" s="1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4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</row>
    <row r="703" spans="1:107" ht="23.25" customHeight="1">
      <c r="A703" s="1"/>
      <c r="B703" s="2"/>
      <c r="C703" s="1"/>
      <c r="D703" s="1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4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</row>
    <row r="704" spans="1:107" ht="23.25" customHeight="1">
      <c r="A704" s="1"/>
      <c r="B704" s="2"/>
      <c r="C704" s="1"/>
      <c r="D704" s="1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4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</row>
    <row r="705" spans="1:107" ht="23.25" customHeight="1">
      <c r="A705" s="1"/>
      <c r="B705" s="2"/>
      <c r="C705" s="1"/>
      <c r="D705" s="1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4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</row>
    <row r="706" spans="1:107" ht="23.25" customHeight="1">
      <c r="A706" s="1"/>
      <c r="B706" s="2"/>
      <c r="C706" s="1"/>
      <c r="D706" s="1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4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</row>
    <row r="707" spans="1:107" ht="23.25" customHeight="1">
      <c r="A707" s="1"/>
      <c r="B707" s="2"/>
      <c r="C707" s="1"/>
      <c r="D707" s="1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4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</row>
    <row r="708" spans="1:107" ht="23.25" customHeight="1">
      <c r="A708" s="1"/>
      <c r="B708" s="2"/>
      <c r="C708" s="1"/>
      <c r="D708" s="1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4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</row>
    <row r="709" spans="1:107" ht="23.25" customHeight="1">
      <c r="A709" s="1"/>
      <c r="B709" s="2"/>
      <c r="C709" s="1"/>
      <c r="D709" s="1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4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</row>
    <row r="710" spans="1:107" ht="23.25" customHeight="1">
      <c r="A710" s="1"/>
      <c r="B710" s="2"/>
      <c r="C710" s="1"/>
      <c r="D710" s="1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4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</row>
    <row r="711" spans="1:107" ht="23.25" customHeight="1">
      <c r="A711" s="1"/>
      <c r="B711" s="2"/>
      <c r="C711" s="1"/>
      <c r="D711" s="1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4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</row>
    <row r="712" spans="1:107" ht="23.25" customHeight="1">
      <c r="A712" s="1"/>
      <c r="B712" s="2"/>
      <c r="C712" s="1"/>
      <c r="D712" s="1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4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</row>
    <row r="713" spans="1:107" ht="23.25" customHeight="1">
      <c r="A713" s="1"/>
      <c r="B713" s="2"/>
      <c r="C713" s="1"/>
      <c r="D713" s="1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4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</row>
    <row r="714" spans="1:107" ht="23.25" customHeight="1">
      <c r="A714" s="1"/>
      <c r="B714" s="2"/>
      <c r="C714" s="1"/>
      <c r="D714" s="1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4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</row>
    <row r="715" spans="1:107" ht="23.25" customHeight="1">
      <c r="A715" s="1"/>
      <c r="B715" s="2"/>
      <c r="C715" s="1"/>
      <c r="D715" s="1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4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</row>
    <row r="716" spans="1:107" ht="23.25" customHeight="1">
      <c r="A716" s="1"/>
      <c r="B716" s="2"/>
      <c r="C716" s="1"/>
      <c r="D716" s="1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4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</row>
    <row r="717" spans="1:107" ht="23.25" customHeight="1">
      <c r="A717" s="1"/>
      <c r="B717" s="2"/>
      <c r="C717" s="1"/>
      <c r="D717" s="1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4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</row>
    <row r="718" spans="1:107" ht="23.25" customHeight="1">
      <c r="A718" s="1"/>
      <c r="B718" s="2"/>
      <c r="C718" s="1"/>
      <c r="D718" s="1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4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</row>
    <row r="719" spans="1:107" ht="23.25" customHeight="1">
      <c r="A719" s="1"/>
      <c r="B719" s="2"/>
      <c r="C719" s="1"/>
      <c r="D719" s="1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4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</row>
    <row r="720" spans="1:107" ht="23.25" customHeight="1">
      <c r="A720" s="1"/>
      <c r="B720" s="2"/>
      <c r="C720" s="1"/>
      <c r="D720" s="1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4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</row>
    <row r="721" spans="1:107" ht="23.25" customHeight="1">
      <c r="A721" s="1"/>
      <c r="B721" s="2"/>
      <c r="C721" s="1"/>
      <c r="D721" s="1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4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</row>
    <row r="722" spans="1:107" ht="23.25" customHeight="1">
      <c r="A722" s="1"/>
      <c r="B722" s="2"/>
      <c r="C722" s="1"/>
      <c r="D722" s="1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4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</row>
    <row r="723" spans="1:107" ht="23.25" customHeight="1">
      <c r="A723" s="1"/>
      <c r="B723" s="2"/>
      <c r="C723" s="1"/>
      <c r="D723" s="1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4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</row>
    <row r="724" spans="1:107" ht="23.25" customHeight="1">
      <c r="A724" s="1"/>
      <c r="B724" s="2"/>
      <c r="C724" s="1"/>
      <c r="D724" s="1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4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</row>
    <row r="725" spans="1:107" ht="23.25" customHeight="1">
      <c r="A725" s="1"/>
      <c r="B725" s="2"/>
      <c r="C725" s="1"/>
      <c r="D725" s="1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4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</row>
    <row r="726" spans="1:107" ht="23.25" customHeight="1">
      <c r="A726" s="1"/>
      <c r="B726" s="2"/>
      <c r="C726" s="1"/>
      <c r="D726" s="1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4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</row>
    <row r="727" spans="1:107" ht="23.25" customHeight="1">
      <c r="A727" s="1"/>
      <c r="B727" s="2"/>
      <c r="C727" s="1"/>
      <c r="D727" s="1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4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</row>
    <row r="728" spans="1:107" ht="23.25" customHeight="1">
      <c r="A728" s="1"/>
      <c r="B728" s="2"/>
      <c r="C728" s="1"/>
      <c r="D728" s="1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4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</row>
    <row r="729" spans="1:107" ht="23.25" customHeight="1">
      <c r="A729" s="1"/>
      <c r="B729" s="2"/>
      <c r="C729" s="1"/>
      <c r="D729" s="1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4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</row>
    <row r="730" spans="1:107" ht="23.25" customHeight="1">
      <c r="A730" s="1"/>
      <c r="B730" s="2"/>
      <c r="C730" s="1"/>
      <c r="D730" s="1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4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</row>
    <row r="731" spans="1:107" ht="23.25" customHeight="1">
      <c r="A731" s="1"/>
      <c r="B731" s="2"/>
      <c r="C731" s="1"/>
      <c r="D731" s="1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4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</row>
    <row r="732" spans="1:107" ht="23.25" customHeight="1">
      <c r="A732" s="1"/>
      <c r="B732" s="2"/>
      <c r="C732" s="1"/>
      <c r="D732" s="1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4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</row>
    <row r="733" spans="1:107" ht="23.25" customHeight="1">
      <c r="A733" s="1"/>
      <c r="B733" s="2"/>
      <c r="C733" s="1"/>
      <c r="D733" s="1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4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</row>
    <row r="734" spans="1:107" ht="23.25" customHeight="1">
      <c r="A734" s="1"/>
      <c r="B734" s="2"/>
      <c r="C734" s="1"/>
      <c r="D734" s="1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4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</row>
    <row r="735" spans="1:107" ht="23.25" customHeight="1">
      <c r="A735" s="1"/>
      <c r="B735" s="2"/>
      <c r="C735" s="1"/>
      <c r="D735" s="1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4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</row>
    <row r="736" spans="1:107" ht="23.25" customHeight="1">
      <c r="A736" s="1"/>
      <c r="B736" s="2"/>
      <c r="C736" s="1"/>
      <c r="D736" s="1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4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</row>
    <row r="737" spans="1:107" ht="23.25" customHeight="1">
      <c r="A737" s="1"/>
      <c r="B737" s="2"/>
      <c r="C737" s="1"/>
      <c r="D737" s="1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4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</row>
    <row r="738" spans="1:107" ht="23.25" customHeight="1">
      <c r="A738" s="1"/>
      <c r="B738" s="2"/>
      <c r="C738" s="1"/>
      <c r="D738" s="1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4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</row>
    <row r="739" spans="1:107" ht="23.25" customHeight="1">
      <c r="A739" s="1"/>
      <c r="B739" s="2"/>
      <c r="C739" s="1"/>
      <c r="D739" s="1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4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</row>
    <row r="740" spans="1:107" ht="23.25" customHeight="1">
      <c r="A740" s="1"/>
      <c r="B740" s="2"/>
      <c r="C740" s="1"/>
      <c r="D740" s="1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4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</row>
    <row r="741" spans="1:107" ht="23.25" customHeight="1">
      <c r="A741" s="1"/>
      <c r="B741" s="2"/>
      <c r="C741" s="1"/>
      <c r="D741" s="1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4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</row>
    <row r="742" spans="1:107" ht="23.25" customHeight="1">
      <c r="A742" s="1"/>
      <c r="B742" s="2"/>
      <c r="C742" s="1"/>
      <c r="D742" s="1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4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</row>
    <row r="743" spans="1:107" ht="23.25" customHeight="1">
      <c r="A743" s="1"/>
      <c r="B743" s="2"/>
      <c r="C743" s="1"/>
      <c r="D743" s="1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4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</row>
    <row r="744" spans="1:107" ht="23.25" customHeight="1">
      <c r="A744" s="1"/>
      <c r="B744" s="2"/>
      <c r="C744" s="1"/>
      <c r="D744" s="1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4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</row>
    <row r="745" spans="1:107" ht="23.25" customHeight="1">
      <c r="A745" s="1"/>
      <c r="B745" s="2"/>
      <c r="C745" s="1"/>
      <c r="D745" s="1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4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</row>
    <row r="746" spans="1:107" ht="23.25" customHeight="1">
      <c r="A746" s="1"/>
      <c r="B746" s="2"/>
      <c r="C746" s="1"/>
      <c r="D746" s="1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4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</row>
    <row r="747" spans="1:107" ht="23.25" customHeight="1">
      <c r="A747" s="1"/>
      <c r="B747" s="2"/>
      <c r="C747" s="1"/>
      <c r="D747" s="1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4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</row>
    <row r="748" spans="1:107" ht="23.25" customHeight="1">
      <c r="A748" s="1"/>
      <c r="B748" s="2"/>
      <c r="C748" s="1"/>
      <c r="D748" s="1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4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</row>
    <row r="749" spans="1:107" ht="23.25" customHeight="1">
      <c r="A749" s="1"/>
      <c r="B749" s="2"/>
      <c r="C749" s="1"/>
      <c r="D749" s="1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4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</row>
    <row r="750" spans="1:107" ht="23.25" customHeight="1">
      <c r="A750" s="1"/>
      <c r="B750" s="2"/>
      <c r="C750" s="1"/>
      <c r="D750" s="1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4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</row>
    <row r="751" spans="1:107" ht="23.25" customHeight="1">
      <c r="A751" s="1"/>
      <c r="B751" s="2"/>
      <c r="C751" s="1"/>
      <c r="D751" s="1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4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</row>
    <row r="752" spans="1:107" ht="23.25" customHeight="1">
      <c r="A752" s="1"/>
      <c r="B752" s="2"/>
      <c r="C752" s="1"/>
      <c r="D752" s="1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4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</row>
    <row r="753" spans="1:107" ht="23.25" customHeight="1">
      <c r="A753" s="1"/>
      <c r="B753" s="2"/>
      <c r="C753" s="1"/>
      <c r="D753" s="1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4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</row>
    <row r="754" spans="1:107" ht="23.25" customHeight="1">
      <c r="A754" s="1"/>
      <c r="B754" s="2"/>
      <c r="C754" s="1"/>
      <c r="D754" s="1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4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</row>
    <row r="755" spans="1:107" ht="23.25" customHeight="1">
      <c r="A755" s="1"/>
      <c r="B755" s="2"/>
      <c r="C755" s="1"/>
      <c r="D755" s="1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4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</row>
    <row r="756" spans="1:107" ht="23.25" customHeight="1">
      <c r="A756" s="1"/>
      <c r="B756" s="2"/>
      <c r="C756" s="1"/>
      <c r="D756" s="1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4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</row>
    <row r="757" spans="1:107" ht="23.25" customHeight="1">
      <c r="A757" s="1"/>
      <c r="B757" s="2"/>
      <c r="C757" s="1"/>
      <c r="D757" s="1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4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</row>
    <row r="758" spans="1:107" ht="23.25" customHeight="1">
      <c r="A758" s="1"/>
      <c r="B758" s="2"/>
      <c r="C758" s="1"/>
      <c r="D758" s="1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4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</row>
    <row r="759" spans="1:107" ht="23.25" customHeight="1">
      <c r="A759" s="1"/>
      <c r="B759" s="2"/>
      <c r="C759" s="1"/>
      <c r="D759" s="1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4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</row>
    <row r="760" spans="1:107" ht="23.25" customHeight="1">
      <c r="A760" s="1"/>
      <c r="B760" s="2"/>
      <c r="C760" s="1"/>
      <c r="D760" s="1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4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</row>
    <row r="761" spans="1:107" ht="23.25" customHeight="1">
      <c r="A761" s="1"/>
      <c r="B761" s="2"/>
      <c r="C761" s="1"/>
      <c r="D761" s="1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4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</row>
    <row r="762" spans="1:107" ht="23.25" customHeight="1">
      <c r="A762" s="1"/>
      <c r="B762" s="2"/>
      <c r="C762" s="1"/>
      <c r="D762" s="1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4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</row>
    <row r="763" spans="1:107" ht="23.25" customHeight="1">
      <c r="A763" s="1"/>
      <c r="B763" s="2"/>
      <c r="C763" s="1"/>
      <c r="D763" s="1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4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</row>
    <row r="764" spans="1:107" ht="23.25" customHeight="1">
      <c r="A764" s="1"/>
      <c r="B764" s="2"/>
      <c r="C764" s="1"/>
      <c r="D764" s="1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4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</row>
    <row r="765" spans="1:107" ht="23.25" customHeight="1">
      <c r="A765" s="1"/>
      <c r="B765" s="2"/>
      <c r="C765" s="1"/>
      <c r="D765" s="1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4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</row>
    <row r="766" spans="1:107" ht="23.25" customHeight="1">
      <c r="A766" s="1"/>
      <c r="B766" s="2"/>
      <c r="C766" s="1"/>
      <c r="D766" s="1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4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</row>
    <row r="767" spans="1:107" ht="23.25" customHeight="1">
      <c r="A767" s="1"/>
      <c r="B767" s="2"/>
      <c r="C767" s="1"/>
      <c r="D767" s="1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4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</row>
    <row r="768" spans="1:107" ht="23.25" customHeight="1">
      <c r="A768" s="1"/>
      <c r="B768" s="2"/>
      <c r="C768" s="1"/>
      <c r="D768" s="1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4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</row>
    <row r="769" spans="1:107" ht="23.25" customHeight="1">
      <c r="A769" s="1"/>
      <c r="B769" s="2"/>
      <c r="C769" s="1"/>
      <c r="D769" s="1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4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</row>
    <row r="770" spans="1:107" ht="23.25" customHeight="1">
      <c r="A770" s="1"/>
      <c r="B770" s="2"/>
      <c r="C770" s="1"/>
      <c r="D770" s="1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4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</row>
    <row r="771" spans="1:107" ht="23.25" customHeight="1">
      <c r="A771" s="1"/>
      <c r="B771" s="2"/>
      <c r="C771" s="1"/>
      <c r="D771" s="1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4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</row>
    <row r="772" spans="1:107" ht="23.25" customHeight="1">
      <c r="A772" s="1"/>
      <c r="B772" s="2"/>
      <c r="C772" s="1"/>
      <c r="D772" s="1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4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</row>
    <row r="773" spans="1:107" ht="23.25" customHeight="1">
      <c r="A773" s="1"/>
      <c r="B773" s="2"/>
      <c r="C773" s="1"/>
      <c r="D773" s="1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4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</row>
    <row r="774" spans="1:107" ht="23.25" customHeight="1">
      <c r="A774" s="1"/>
      <c r="B774" s="2"/>
      <c r="C774" s="1"/>
      <c r="D774" s="1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4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</row>
    <row r="775" spans="1:107" ht="23.25" customHeight="1">
      <c r="A775" s="1"/>
      <c r="B775" s="2"/>
      <c r="C775" s="1"/>
      <c r="D775" s="1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4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</row>
    <row r="776" spans="1:107" ht="23.25" customHeight="1">
      <c r="A776" s="1"/>
      <c r="B776" s="2"/>
      <c r="C776" s="1"/>
      <c r="D776" s="1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4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</row>
    <row r="777" spans="1:107" ht="23.25" customHeight="1">
      <c r="A777" s="1"/>
      <c r="B777" s="2"/>
      <c r="C777" s="1"/>
      <c r="D777" s="1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4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</row>
    <row r="778" spans="1:107" ht="23.25" customHeight="1">
      <c r="A778" s="1"/>
      <c r="B778" s="2"/>
      <c r="C778" s="1"/>
      <c r="D778" s="1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4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</row>
    <row r="779" spans="1:107" ht="23.25" customHeight="1">
      <c r="A779" s="1"/>
      <c r="B779" s="2"/>
      <c r="C779" s="1"/>
      <c r="D779" s="1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4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</row>
    <row r="780" spans="1:107" ht="23.25" customHeight="1">
      <c r="A780" s="1"/>
      <c r="B780" s="2"/>
      <c r="C780" s="1"/>
      <c r="D780" s="1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4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</row>
    <row r="781" spans="1:107" ht="23.25" customHeight="1">
      <c r="A781" s="1"/>
      <c r="B781" s="2"/>
      <c r="C781" s="1"/>
      <c r="D781" s="1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4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</row>
    <row r="782" spans="1:107" ht="23.25" customHeight="1">
      <c r="A782" s="1"/>
      <c r="B782" s="2"/>
      <c r="C782" s="1"/>
      <c r="D782" s="1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4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</row>
    <row r="783" spans="1:107" ht="23.25" customHeight="1">
      <c r="A783" s="1"/>
      <c r="B783" s="2"/>
      <c r="C783" s="1"/>
      <c r="D783" s="1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4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</row>
    <row r="784" spans="1:107" ht="23.25" customHeight="1">
      <c r="A784" s="1"/>
      <c r="B784" s="2"/>
      <c r="C784" s="1"/>
      <c r="D784" s="1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4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</row>
    <row r="785" spans="1:107" ht="23.25" customHeight="1">
      <c r="A785" s="1"/>
      <c r="B785" s="2"/>
      <c r="C785" s="1"/>
      <c r="D785" s="1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4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</row>
    <row r="786" spans="1:107" ht="23.25" customHeight="1">
      <c r="A786" s="1"/>
      <c r="B786" s="2"/>
      <c r="C786" s="1"/>
      <c r="D786" s="1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4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</row>
    <row r="787" spans="1:107" ht="23.25" customHeight="1">
      <c r="A787" s="1"/>
      <c r="B787" s="2"/>
      <c r="C787" s="1"/>
      <c r="D787" s="1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4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</row>
    <row r="788" spans="1:107" ht="23.25" customHeight="1">
      <c r="A788" s="1"/>
      <c r="B788" s="2"/>
      <c r="C788" s="1"/>
      <c r="D788" s="1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4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</row>
    <row r="789" spans="1:107" ht="23.25" customHeight="1">
      <c r="A789" s="1"/>
      <c r="B789" s="2"/>
      <c r="C789" s="1"/>
      <c r="D789" s="1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4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</row>
    <row r="790" spans="1:107" ht="23.25" customHeight="1">
      <c r="A790" s="1"/>
      <c r="B790" s="2"/>
      <c r="C790" s="1"/>
      <c r="D790" s="1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4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</row>
    <row r="791" spans="1:107" ht="23.25" customHeight="1">
      <c r="A791" s="1"/>
      <c r="B791" s="2"/>
      <c r="C791" s="1"/>
      <c r="D791" s="1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4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</row>
    <row r="792" spans="1:107" ht="23.25" customHeight="1">
      <c r="A792" s="1"/>
      <c r="B792" s="2"/>
      <c r="C792" s="1"/>
      <c r="D792" s="1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4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</row>
    <row r="793" spans="1:107" ht="23.25" customHeight="1">
      <c r="A793" s="1"/>
      <c r="B793" s="2"/>
      <c r="C793" s="1"/>
      <c r="D793" s="1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4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</row>
    <row r="794" spans="1:107" ht="23.25" customHeight="1">
      <c r="A794" s="1"/>
      <c r="B794" s="2"/>
      <c r="C794" s="1"/>
      <c r="D794" s="1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4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</row>
    <row r="795" spans="1:107" ht="23.25" customHeight="1">
      <c r="A795" s="1"/>
      <c r="B795" s="2"/>
      <c r="C795" s="1"/>
      <c r="D795" s="1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4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</row>
    <row r="796" spans="1:107" ht="23.25" customHeight="1">
      <c r="A796" s="1"/>
      <c r="B796" s="2"/>
      <c r="C796" s="1"/>
      <c r="D796" s="1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4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</row>
    <row r="797" spans="1:107" ht="23.25" customHeight="1">
      <c r="A797" s="1"/>
      <c r="B797" s="2"/>
      <c r="C797" s="1"/>
      <c r="D797" s="1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4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</row>
    <row r="798" spans="1:107" ht="23.25" customHeight="1">
      <c r="A798" s="1"/>
      <c r="B798" s="2"/>
      <c r="C798" s="1"/>
      <c r="D798" s="1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4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</row>
    <row r="799" spans="1:107" ht="23.25" customHeight="1">
      <c r="A799" s="1"/>
      <c r="B799" s="2"/>
      <c r="C799" s="1"/>
      <c r="D799" s="1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4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</row>
    <row r="800" spans="1:107" ht="23.25" customHeight="1">
      <c r="A800" s="1"/>
      <c r="B800" s="2"/>
      <c r="C800" s="1"/>
      <c r="D800" s="1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4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</row>
    <row r="801" spans="1:107" ht="23.25" customHeight="1">
      <c r="A801" s="1"/>
      <c r="B801" s="2"/>
      <c r="C801" s="1"/>
      <c r="D801" s="1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4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</row>
    <row r="802" spans="1:107" ht="23.25" customHeight="1">
      <c r="A802" s="1"/>
      <c r="B802" s="2"/>
      <c r="C802" s="1"/>
      <c r="D802" s="1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4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</row>
    <row r="803" spans="1:107" ht="23.25" customHeight="1">
      <c r="A803" s="1"/>
      <c r="B803" s="2"/>
      <c r="C803" s="1"/>
      <c r="D803" s="1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4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</row>
    <row r="804" spans="1:107" ht="23.25" customHeight="1">
      <c r="A804" s="1"/>
      <c r="B804" s="2"/>
      <c r="C804" s="1"/>
      <c r="D804" s="1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4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</row>
    <row r="805" spans="1:107" ht="23.25" customHeight="1">
      <c r="A805" s="1"/>
      <c r="B805" s="2"/>
      <c r="C805" s="1"/>
      <c r="D805" s="1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4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</row>
    <row r="806" spans="1:107" ht="23.25" customHeight="1">
      <c r="A806" s="1"/>
      <c r="B806" s="2"/>
      <c r="C806" s="1"/>
      <c r="D806" s="1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4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</row>
    <row r="807" spans="1:107" ht="23.25" customHeight="1">
      <c r="A807" s="1"/>
      <c r="B807" s="2"/>
      <c r="C807" s="1"/>
      <c r="D807" s="1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4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</row>
    <row r="808" spans="1:107" ht="23.25" customHeight="1">
      <c r="A808" s="1"/>
      <c r="B808" s="2"/>
      <c r="C808" s="1"/>
      <c r="D808" s="1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4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</row>
    <row r="809" spans="1:107" ht="23.25" customHeight="1">
      <c r="A809" s="1"/>
      <c r="B809" s="2"/>
      <c r="C809" s="1"/>
      <c r="D809" s="1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4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</row>
    <row r="810" spans="1:107" ht="23.25" customHeight="1">
      <c r="A810" s="1"/>
      <c r="B810" s="2"/>
      <c r="C810" s="1"/>
      <c r="D810" s="1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4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</row>
    <row r="811" spans="1:107" ht="23.25" customHeight="1">
      <c r="A811" s="1"/>
      <c r="B811" s="2"/>
      <c r="C811" s="1"/>
      <c r="D811" s="1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4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</row>
    <row r="812" spans="1:107" ht="23.25" customHeight="1">
      <c r="A812" s="1"/>
      <c r="B812" s="2"/>
      <c r="C812" s="1"/>
      <c r="D812" s="1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4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</row>
    <row r="813" spans="1:107" ht="23.25" customHeight="1">
      <c r="A813" s="1"/>
      <c r="B813" s="2"/>
      <c r="C813" s="1"/>
      <c r="D813" s="1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4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</row>
    <row r="814" spans="1:107" ht="23.25" customHeight="1">
      <c r="A814" s="1"/>
      <c r="B814" s="2"/>
      <c r="C814" s="1"/>
      <c r="D814" s="1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4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</row>
    <row r="815" spans="1:107" ht="23.25" customHeight="1">
      <c r="A815" s="1"/>
      <c r="B815" s="2"/>
      <c r="C815" s="1"/>
      <c r="D815" s="1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4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</row>
    <row r="816" spans="1:107" ht="23.25" customHeight="1">
      <c r="A816" s="1"/>
      <c r="B816" s="2"/>
      <c r="C816" s="1"/>
      <c r="D816" s="1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4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</row>
    <row r="817" spans="1:107" ht="23.25" customHeight="1">
      <c r="A817" s="1"/>
      <c r="B817" s="2"/>
      <c r="C817" s="1"/>
      <c r="D817" s="1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4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</row>
    <row r="818" spans="1:107" ht="23.25" customHeight="1">
      <c r="A818" s="1"/>
      <c r="B818" s="2"/>
      <c r="C818" s="1"/>
      <c r="D818" s="1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4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</row>
    <row r="819" spans="1:107" ht="23.25" customHeight="1">
      <c r="A819" s="1"/>
      <c r="B819" s="2"/>
      <c r="C819" s="1"/>
      <c r="D819" s="1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4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</row>
    <row r="820" spans="1:107" ht="23.25" customHeight="1">
      <c r="A820" s="1"/>
      <c r="B820" s="2"/>
      <c r="C820" s="1"/>
      <c r="D820" s="1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4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</row>
    <row r="821" spans="1:107" ht="23.25" customHeight="1">
      <c r="A821" s="1"/>
      <c r="B821" s="2"/>
      <c r="C821" s="1"/>
      <c r="D821" s="1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4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</row>
    <row r="822" spans="1:107" ht="23.25" customHeight="1">
      <c r="A822" s="1"/>
      <c r="B822" s="2"/>
      <c r="C822" s="1"/>
      <c r="D822" s="1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4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</row>
    <row r="823" spans="1:107" ht="23.25" customHeight="1">
      <c r="A823" s="1"/>
      <c r="B823" s="2"/>
      <c r="C823" s="1"/>
      <c r="D823" s="1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4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</row>
    <row r="824" spans="1:107" ht="23.25" customHeight="1">
      <c r="A824" s="1"/>
      <c r="B824" s="2"/>
      <c r="C824" s="1"/>
      <c r="D824" s="1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4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</row>
    <row r="825" spans="1:107" ht="23.25" customHeight="1">
      <c r="A825" s="1"/>
      <c r="B825" s="2"/>
      <c r="C825" s="1"/>
      <c r="D825" s="1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4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</row>
    <row r="826" spans="1:107" ht="23.25" customHeight="1">
      <c r="A826" s="1"/>
      <c r="B826" s="2"/>
      <c r="C826" s="1"/>
      <c r="D826" s="1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4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</row>
    <row r="827" spans="1:107" ht="23.25" customHeight="1">
      <c r="A827" s="1"/>
      <c r="B827" s="2"/>
      <c r="C827" s="1"/>
      <c r="D827" s="1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4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</row>
    <row r="828" spans="1:107" ht="23.25" customHeight="1">
      <c r="A828" s="1"/>
      <c r="B828" s="2"/>
      <c r="C828" s="1"/>
      <c r="D828" s="1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4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</row>
    <row r="829" spans="1:107" ht="23.25" customHeight="1">
      <c r="A829" s="1"/>
      <c r="B829" s="2"/>
      <c r="C829" s="1"/>
      <c r="D829" s="1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4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</row>
    <row r="830" spans="1:107" ht="23.25" customHeight="1">
      <c r="A830" s="1"/>
      <c r="B830" s="2"/>
      <c r="C830" s="1"/>
      <c r="D830" s="1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4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</row>
    <row r="831" spans="1:107" ht="23.25" customHeight="1">
      <c r="A831" s="1"/>
      <c r="B831" s="2"/>
      <c r="C831" s="1"/>
      <c r="D831" s="1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4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</row>
    <row r="832" spans="1:107" ht="23.25" customHeight="1">
      <c r="A832" s="1"/>
      <c r="B832" s="2"/>
      <c r="C832" s="1"/>
      <c r="D832" s="1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4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</row>
    <row r="833" spans="1:107" ht="23.25" customHeight="1">
      <c r="A833" s="1"/>
      <c r="B833" s="2"/>
      <c r="C833" s="1"/>
      <c r="D833" s="1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4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</row>
    <row r="834" spans="1:107" ht="23.25" customHeight="1">
      <c r="A834" s="1"/>
      <c r="B834" s="2"/>
      <c r="C834" s="1"/>
      <c r="D834" s="1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4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</row>
    <row r="835" spans="1:107" ht="23.25" customHeight="1">
      <c r="A835" s="1"/>
      <c r="B835" s="2"/>
      <c r="C835" s="1"/>
      <c r="D835" s="1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4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</row>
    <row r="836" spans="1:107" ht="23.25" customHeight="1">
      <c r="A836" s="1"/>
      <c r="B836" s="2"/>
      <c r="C836" s="1"/>
      <c r="D836" s="1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4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</row>
    <row r="837" spans="1:107" ht="23.25" customHeight="1">
      <c r="A837" s="1"/>
      <c r="B837" s="2"/>
      <c r="C837" s="1"/>
      <c r="D837" s="1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4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</row>
    <row r="838" spans="1:107" ht="23.25" customHeight="1">
      <c r="A838" s="1"/>
      <c r="B838" s="2"/>
      <c r="C838" s="1"/>
      <c r="D838" s="1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4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</row>
    <row r="839" spans="1:107" ht="23.25" customHeight="1">
      <c r="A839" s="1"/>
      <c r="B839" s="2"/>
      <c r="C839" s="1"/>
      <c r="D839" s="1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4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</row>
    <row r="840" spans="1:107" ht="23.25" customHeight="1">
      <c r="A840" s="1"/>
      <c r="B840" s="2"/>
      <c r="C840" s="1"/>
      <c r="D840" s="1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4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</row>
    <row r="841" spans="1:107" ht="23.25" customHeight="1">
      <c r="A841" s="1"/>
      <c r="B841" s="2"/>
      <c r="C841" s="1"/>
      <c r="D841" s="1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4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</row>
    <row r="842" spans="1:107" ht="23.25" customHeight="1">
      <c r="A842" s="1"/>
      <c r="B842" s="2"/>
      <c r="C842" s="1"/>
      <c r="D842" s="1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4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</row>
    <row r="843" spans="1:107" ht="23.25" customHeight="1">
      <c r="A843" s="1"/>
      <c r="B843" s="2"/>
      <c r="C843" s="1"/>
      <c r="D843" s="1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4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</row>
    <row r="844" spans="1:107" ht="23.25" customHeight="1">
      <c r="A844" s="1"/>
      <c r="B844" s="2"/>
      <c r="C844" s="1"/>
      <c r="D844" s="1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4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</row>
    <row r="845" spans="1:107" ht="23.25" customHeight="1">
      <c r="A845" s="1"/>
      <c r="B845" s="2"/>
      <c r="C845" s="1"/>
      <c r="D845" s="1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4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</row>
    <row r="846" spans="1:107" ht="23.25" customHeight="1">
      <c r="A846" s="1"/>
      <c r="B846" s="2"/>
      <c r="C846" s="1"/>
      <c r="D846" s="1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4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</row>
    <row r="847" spans="1:107" ht="23.25" customHeight="1">
      <c r="A847" s="1"/>
      <c r="B847" s="2"/>
      <c r="C847" s="1"/>
      <c r="D847" s="1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4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</row>
    <row r="848" spans="1:107" ht="23.25" customHeight="1">
      <c r="A848" s="1"/>
      <c r="B848" s="2"/>
      <c r="C848" s="1"/>
      <c r="D848" s="1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4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</row>
    <row r="849" spans="1:107" ht="23.25" customHeight="1">
      <c r="A849" s="1"/>
      <c r="B849" s="2"/>
      <c r="C849" s="1"/>
      <c r="D849" s="1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4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</row>
    <row r="850" spans="1:107" ht="23.25" customHeight="1">
      <c r="A850" s="1"/>
      <c r="B850" s="2"/>
      <c r="C850" s="1"/>
      <c r="D850" s="1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4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</row>
    <row r="851" spans="1:107" ht="23.25" customHeight="1">
      <c r="A851" s="1"/>
      <c r="B851" s="2"/>
      <c r="C851" s="1"/>
      <c r="D851" s="1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4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</row>
    <row r="852" spans="1:107" ht="23.25" customHeight="1">
      <c r="A852" s="1"/>
      <c r="B852" s="2"/>
      <c r="C852" s="1"/>
      <c r="D852" s="1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4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</row>
    <row r="853" spans="1:107" ht="23.25" customHeight="1">
      <c r="A853" s="1"/>
      <c r="B853" s="2"/>
      <c r="C853" s="1"/>
      <c r="D853" s="1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4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</row>
    <row r="854" spans="1:107" ht="23.25" customHeight="1">
      <c r="A854" s="1"/>
      <c r="B854" s="2"/>
      <c r="C854" s="1"/>
      <c r="D854" s="1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4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</row>
    <row r="855" spans="1:107" ht="23.25" customHeight="1">
      <c r="A855" s="1"/>
      <c r="B855" s="2"/>
      <c r="C855" s="1"/>
      <c r="D855" s="1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4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</row>
    <row r="856" spans="1:107" ht="23.25" customHeight="1">
      <c r="A856" s="1"/>
      <c r="B856" s="2"/>
      <c r="C856" s="1"/>
      <c r="D856" s="1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4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</row>
    <row r="857" spans="1:107" ht="23.25" customHeight="1">
      <c r="A857" s="1"/>
      <c r="B857" s="2"/>
      <c r="C857" s="1"/>
      <c r="D857" s="1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4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</row>
    <row r="858" spans="1:107" ht="23.25" customHeight="1">
      <c r="A858" s="1"/>
      <c r="B858" s="2"/>
      <c r="C858" s="1"/>
      <c r="D858" s="1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4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</row>
    <row r="859" spans="1:107" ht="23.25" customHeight="1">
      <c r="A859" s="1"/>
      <c r="B859" s="2"/>
      <c r="C859" s="1"/>
      <c r="D859" s="1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4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</row>
    <row r="860" spans="1:107" ht="23.25" customHeight="1">
      <c r="A860" s="1"/>
      <c r="B860" s="2"/>
      <c r="C860" s="1"/>
      <c r="D860" s="1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4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</row>
    <row r="861" spans="1:107" ht="23.25" customHeight="1">
      <c r="A861" s="1"/>
      <c r="B861" s="2"/>
      <c r="C861" s="1"/>
      <c r="D861" s="1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4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</row>
    <row r="862" spans="1:107" ht="23.25" customHeight="1">
      <c r="A862" s="1"/>
      <c r="B862" s="2"/>
      <c r="C862" s="1"/>
      <c r="D862" s="1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4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</row>
    <row r="863" spans="1:107" ht="23.25" customHeight="1">
      <c r="A863" s="1"/>
      <c r="B863" s="2"/>
      <c r="C863" s="1"/>
      <c r="D863" s="1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4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</row>
    <row r="864" spans="1:107" ht="23.25" customHeight="1">
      <c r="A864" s="1"/>
      <c r="B864" s="2"/>
      <c r="C864" s="1"/>
      <c r="D864" s="1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4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</row>
    <row r="865" spans="1:107" ht="23.25" customHeight="1">
      <c r="A865" s="1"/>
      <c r="B865" s="2"/>
      <c r="C865" s="1"/>
      <c r="D865" s="1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4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</row>
    <row r="866" spans="1:107" ht="23.25" customHeight="1">
      <c r="A866" s="1"/>
      <c r="B866" s="2"/>
      <c r="C866" s="1"/>
      <c r="D866" s="1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4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</row>
    <row r="867" spans="1:107" ht="23.25" customHeight="1">
      <c r="A867" s="1"/>
      <c r="B867" s="2"/>
      <c r="C867" s="1"/>
      <c r="D867" s="1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4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</row>
    <row r="868" spans="1:107" ht="23.25" customHeight="1">
      <c r="A868" s="1"/>
      <c r="B868" s="2"/>
      <c r="C868" s="1"/>
      <c r="D868" s="1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4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</row>
    <row r="869" spans="1:107" ht="23.25" customHeight="1">
      <c r="A869" s="1"/>
      <c r="B869" s="2"/>
      <c r="C869" s="1"/>
      <c r="D869" s="1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4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</row>
    <row r="870" spans="1:107" ht="23.25" customHeight="1">
      <c r="A870" s="1"/>
      <c r="B870" s="2"/>
      <c r="C870" s="1"/>
      <c r="D870" s="1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4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</row>
    <row r="871" spans="1:107" ht="23.25" customHeight="1">
      <c r="A871" s="1"/>
      <c r="B871" s="2"/>
      <c r="C871" s="1"/>
      <c r="D871" s="1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4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</row>
    <row r="872" spans="1:107" ht="23.25" customHeight="1">
      <c r="A872" s="1"/>
      <c r="B872" s="2"/>
      <c r="C872" s="1"/>
      <c r="D872" s="1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4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</row>
    <row r="873" spans="1:107" ht="23.25" customHeight="1">
      <c r="A873" s="1"/>
      <c r="B873" s="2"/>
      <c r="C873" s="1"/>
      <c r="D873" s="1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4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</row>
    <row r="874" spans="1:107" ht="23.25" customHeight="1">
      <c r="A874" s="1"/>
      <c r="B874" s="2"/>
      <c r="C874" s="1"/>
      <c r="D874" s="1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4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</row>
    <row r="875" spans="1:107" ht="23.25" customHeight="1">
      <c r="A875" s="1"/>
      <c r="B875" s="2"/>
      <c r="C875" s="1"/>
      <c r="D875" s="1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4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</row>
    <row r="876" spans="1:107" ht="23.25" customHeight="1">
      <c r="A876" s="1"/>
      <c r="B876" s="2"/>
      <c r="C876" s="1"/>
      <c r="D876" s="1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4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</row>
    <row r="877" spans="1:107" ht="23.25" customHeight="1">
      <c r="A877" s="1"/>
      <c r="B877" s="2"/>
      <c r="C877" s="1"/>
      <c r="D877" s="1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4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</row>
    <row r="878" spans="1:107" ht="23.25" customHeight="1">
      <c r="A878" s="1"/>
      <c r="B878" s="2"/>
      <c r="C878" s="1"/>
      <c r="D878" s="1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4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</row>
    <row r="879" spans="1:107" ht="23.25" customHeight="1">
      <c r="A879" s="1"/>
      <c r="B879" s="2"/>
      <c r="C879" s="1"/>
      <c r="D879" s="1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4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</row>
    <row r="880" spans="1:107" ht="23.25" customHeight="1">
      <c r="A880" s="1"/>
      <c r="B880" s="2"/>
      <c r="C880" s="1"/>
      <c r="D880" s="1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4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</row>
    <row r="881" spans="1:107" ht="23.25" customHeight="1">
      <c r="A881" s="1"/>
      <c r="B881" s="2"/>
      <c r="C881" s="1"/>
      <c r="D881" s="1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4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</row>
    <row r="882" spans="1:107" ht="23.25" customHeight="1">
      <c r="A882" s="1"/>
      <c r="B882" s="2"/>
      <c r="C882" s="1"/>
      <c r="D882" s="1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4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</row>
    <row r="883" spans="1:107" ht="23.25" customHeight="1">
      <c r="A883" s="1"/>
      <c r="B883" s="2"/>
      <c r="C883" s="1"/>
      <c r="D883" s="1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4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</row>
    <row r="884" spans="1:107" ht="23.25" customHeight="1">
      <c r="A884" s="1"/>
      <c r="B884" s="2"/>
      <c r="C884" s="1"/>
      <c r="D884" s="1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4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</row>
    <row r="885" spans="1:107" ht="23.25" customHeight="1">
      <c r="A885" s="1"/>
      <c r="B885" s="2"/>
      <c r="C885" s="1"/>
      <c r="D885" s="1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4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</row>
    <row r="886" spans="1:107" ht="23.25" customHeight="1">
      <c r="A886" s="1"/>
      <c r="B886" s="2"/>
      <c r="C886" s="1"/>
      <c r="D886" s="1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4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</row>
    <row r="887" spans="1:107" ht="23.25" customHeight="1">
      <c r="A887" s="1"/>
      <c r="B887" s="2"/>
      <c r="C887" s="1"/>
      <c r="D887" s="1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4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</row>
    <row r="888" spans="1:107" ht="23.25" customHeight="1">
      <c r="A888" s="1"/>
      <c r="B888" s="2"/>
      <c r="C888" s="1"/>
      <c r="D888" s="1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4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</row>
    <row r="889" spans="1:107" ht="23.25" customHeight="1">
      <c r="A889" s="1"/>
      <c r="B889" s="2"/>
      <c r="C889" s="1"/>
      <c r="D889" s="1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4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</row>
    <row r="890" spans="1:107" ht="23.25" customHeight="1">
      <c r="A890" s="1"/>
      <c r="B890" s="2"/>
      <c r="C890" s="1"/>
      <c r="D890" s="1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4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</row>
    <row r="891" spans="1:107" ht="23.25" customHeight="1">
      <c r="A891" s="1"/>
      <c r="B891" s="2"/>
      <c r="C891" s="1"/>
      <c r="D891" s="1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4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</row>
    <row r="892" spans="1:107" ht="23.25" customHeight="1">
      <c r="A892" s="1"/>
      <c r="B892" s="2"/>
      <c r="C892" s="1"/>
      <c r="D892" s="1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4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</row>
    <row r="893" spans="1:107" ht="23.25" customHeight="1">
      <c r="A893" s="1"/>
      <c r="B893" s="2"/>
      <c r="C893" s="1"/>
      <c r="D893" s="1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4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</row>
    <row r="894" spans="1:107" ht="23.25" customHeight="1">
      <c r="A894" s="1"/>
      <c r="B894" s="2"/>
      <c r="C894" s="1"/>
      <c r="D894" s="1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4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</row>
    <row r="895" spans="1:107" ht="23.25" customHeight="1">
      <c r="A895" s="1"/>
      <c r="B895" s="2"/>
      <c r="C895" s="1"/>
      <c r="D895" s="1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4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</row>
    <row r="896" spans="1:107" ht="23.25" customHeight="1">
      <c r="A896" s="1"/>
      <c r="B896" s="2"/>
      <c r="C896" s="1"/>
      <c r="D896" s="1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4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</row>
    <row r="897" spans="1:107" ht="23.25" customHeight="1">
      <c r="A897" s="1"/>
      <c r="B897" s="2"/>
      <c r="C897" s="1"/>
      <c r="D897" s="1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4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</row>
    <row r="898" spans="1:107" ht="23.25" customHeight="1">
      <c r="A898" s="1"/>
      <c r="B898" s="2"/>
      <c r="C898" s="1"/>
      <c r="D898" s="1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4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</row>
    <row r="899" spans="1:107" ht="23.25" customHeight="1">
      <c r="A899" s="1"/>
      <c r="B899" s="2"/>
      <c r="C899" s="1"/>
      <c r="D899" s="1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4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</row>
    <row r="900" spans="1:107" ht="23.25" customHeight="1">
      <c r="A900" s="1"/>
      <c r="B900" s="2"/>
      <c r="C900" s="1"/>
      <c r="D900" s="1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4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</row>
    <row r="901" spans="1:107" ht="23.25" customHeight="1">
      <c r="A901" s="1"/>
      <c r="B901" s="2"/>
      <c r="C901" s="1"/>
      <c r="D901" s="1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4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</row>
    <row r="902" spans="1:107" ht="23.25" customHeight="1">
      <c r="A902" s="1"/>
      <c r="B902" s="2"/>
      <c r="C902" s="1"/>
      <c r="D902" s="1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4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</row>
    <row r="903" spans="1:107" ht="23.25" customHeight="1">
      <c r="A903" s="1"/>
      <c r="B903" s="2"/>
      <c r="C903" s="1"/>
      <c r="D903" s="1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4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</row>
    <row r="904" spans="1:107" ht="23.25" customHeight="1">
      <c r="A904" s="1"/>
      <c r="B904" s="2"/>
      <c r="C904" s="1"/>
      <c r="D904" s="1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4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</row>
    <row r="905" spans="1:107" ht="23.25" customHeight="1">
      <c r="A905" s="1"/>
      <c r="B905" s="2"/>
      <c r="C905" s="1"/>
      <c r="D905" s="1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4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</row>
    <row r="906" spans="1:107" ht="23.25" customHeight="1">
      <c r="A906" s="1"/>
      <c r="B906" s="2"/>
      <c r="C906" s="1"/>
      <c r="D906" s="1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4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</row>
    <row r="907" spans="1:107" ht="23.25" customHeight="1">
      <c r="A907" s="1"/>
      <c r="B907" s="2"/>
      <c r="C907" s="1"/>
      <c r="D907" s="1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4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</row>
    <row r="908" spans="1:107" ht="23.25" customHeight="1">
      <c r="A908" s="1"/>
      <c r="B908" s="2"/>
      <c r="C908" s="1"/>
      <c r="D908" s="1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4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</row>
    <row r="909" spans="1:107" ht="23.25" customHeight="1">
      <c r="A909" s="1"/>
      <c r="B909" s="2"/>
      <c r="C909" s="1"/>
      <c r="D909" s="1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4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</row>
    <row r="910" spans="1:107" ht="23.25" customHeight="1">
      <c r="A910" s="1"/>
      <c r="B910" s="2"/>
      <c r="C910" s="1"/>
      <c r="D910" s="1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4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</row>
    <row r="911" spans="1:107" ht="23.25" customHeight="1">
      <c r="A911" s="1"/>
      <c r="B911" s="2"/>
      <c r="C911" s="1"/>
      <c r="D911" s="1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4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</row>
    <row r="912" spans="1:107" ht="23.25" customHeight="1">
      <c r="A912" s="1"/>
      <c r="B912" s="2"/>
      <c r="C912" s="1"/>
      <c r="D912" s="1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4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</row>
    <row r="913" spans="1:107" ht="23.25" customHeight="1">
      <c r="A913" s="1"/>
      <c r="B913" s="2"/>
      <c r="C913" s="1"/>
      <c r="D913" s="1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4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</row>
    <row r="914" spans="1:107" ht="23.25" customHeight="1">
      <c r="A914" s="1"/>
      <c r="B914" s="2"/>
      <c r="C914" s="1"/>
      <c r="D914" s="1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4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</row>
    <row r="915" spans="1:107" ht="23.25" customHeight="1">
      <c r="A915" s="1"/>
      <c r="B915" s="2"/>
      <c r="C915" s="1"/>
      <c r="D915" s="1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4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</row>
    <row r="916" spans="1:107" ht="23.25" customHeight="1">
      <c r="A916" s="1"/>
      <c r="B916" s="2"/>
      <c r="C916" s="1"/>
      <c r="D916" s="1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4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</row>
    <row r="917" spans="1:107" ht="23.25" customHeight="1">
      <c r="A917" s="1"/>
      <c r="B917" s="2"/>
      <c r="C917" s="1"/>
      <c r="D917" s="1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4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</row>
    <row r="918" spans="1:107" ht="23.25" customHeight="1">
      <c r="A918" s="1"/>
      <c r="B918" s="2"/>
      <c r="C918" s="1"/>
      <c r="D918" s="1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4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</row>
    <row r="919" spans="1:107" ht="23.25" customHeight="1">
      <c r="A919" s="1"/>
      <c r="B919" s="2"/>
      <c r="C919" s="1"/>
      <c r="D919" s="1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4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</row>
    <row r="920" spans="1:107" ht="23.25" customHeight="1">
      <c r="A920" s="1"/>
      <c r="B920" s="2"/>
      <c r="C920" s="1"/>
      <c r="D920" s="1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4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</row>
    <row r="921" spans="1:107" ht="23.25" customHeight="1">
      <c r="A921" s="1"/>
      <c r="B921" s="2"/>
      <c r="C921" s="1"/>
      <c r="D921" s="1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4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</row>
    <row r="922" spans="1:107" ht="23.25" customHeight="1">
      <c r="A922" s="1"/>
      <c r="B922" s="2"/>
      <c r="C922" s="1"/>
      <c r="D922" s="1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4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</row>
    <row r="923" spans="1:107" ht="23.25" customHeight="1">
      <c r="A923" s="1"/>
      <c r="B923" s="2"/>
      <c r="C923" s="1"/>
      <c r="D923" s="1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4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</row>
    <row r="924" spans="1:107" ht="23.25" customHeight="1">
      <c r="A924" s="1"/>
      <c r="B924" s="2"/>
      <c r="C924" s="1"/>
      <c r="D924" s="1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4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</row>
    <row r="925" spans="1:107" ht="23.25" customHeight="1">
      <c r="A925" s="1"/>
      <c r="B925" s="2"/>
      <c r="C925" s="1"/>
      <c r="D925" s="1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4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</row>
    <row r="926" spans="1:107" ht="23.25" customHeight="1">
      <c r="A926" s="1"/>
      <c r="B926" s="2"/>
      <c r="C926" s="1"/>
      <c r="D926" s="1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4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</row>
    <row r="927" spans="1:107" ht="23.25" customHeight="1">
      <c r="A927" s="1"/>
      <c r="B927" s="2"/>
      <c r="C927" s="1"/>
      <c r="D927" s="1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4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</row>
    <row r="928" spans="1:107" ht="23.25" customHeight="1">
      <c r="A928" s="1"/>
      <c r="B928" s="2"/>
      <c r="C928" s="1"/>
      <c r="D928" s="1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4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</row>
    <row r="929" spans="1:107" ht="23.25" customHeight="1">
      <c r="A929" s="1"/>
      <c r="B929" s="2"/>
      <c r="C929" s="1"/>
      <c r="D929" s="1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4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</row>
    <row r="930" spans="1:107" ht="23.25" customHeight="1">
      <c r="A930" s="1"/>
      <c r="B930" s="2"/>
      <c r="C930" s="1"/>
      <c r="D930" s="1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4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</row>
    <row r="931" spans="1:107" ht="23.25" customHeight="1">
      <c r="A931" s="1"/>
      <c r="B931" s="2"/>
      <c r="C931" s="1"/>
      <c r="D931" s="1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4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</row>
    <row r="932" spans="1:107" ht="23.25" customHeight="1">
      <c r="A932" s="1"/>
      <c r="B932" s="2"/>
      <c r="C932" s="1"/>
      <c r="D932" s="1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4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</row>
    <row r="933" spans="1:107" ht="23.25" customHeight="1">
      <c r="A933" s="1"/>
      <c r="B933" s="2"/>
      <c r="C933" s="1"/>
      <c r="D933" s="1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4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</row>
    <row r="934" spans="1:107" ht="23.25" customHeight="1">
      <c r="A934" s="1"/>
      <c r="B934" s="2"/>
      <c r="C934" s="1"/>
      <c r="D934" s="1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4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</row>
    <row r="935" spans="1:107" ht="23.25" customHeight="1">
      <c r="A935" s="1"/>
      <c r="B935" s="2"/>
      <c r="C935" s="1"/>
      <c r="D935" s="1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4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</row>
    <row r="936" spans="1:107" ht="23.25" customHeight="1">
      <c r="A936" s="1"/>
      <c r="B936" s="2"/>
      <c r="C936" s="1"/>
      <c r="D936" s="1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4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</row>
    <row r="937" spans="1:107" ht="23.25" customHeight="1">
      <c r="A937" s="1"/>
      <c r="B937" s="2"/>
      <c r="C937" s="1"/>
      <c r="D937" s="1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4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</row>
    <row r="938" spans="1:107" ht="23.25" customHeight="1">
      <c r="A938" s="1"/>
      <c r="B938" s="2"/>
      <c r="C938" s="1"/>
      <c r="D938" s="1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4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</row>
    <row r="939" spans="1:107" ht="23.25" customHeight="1">
      <c r="A939" s="1"/>
      <c r="B939" s="2"/>
      <c r="C939" s="1"/>
      <c r="D939" s="1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4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</row>
    <row r="940" spans="1:107" ht="23.25" customHeight="1">
      <c r="A940" s="1"/>
      <c r="B940" s="2"/>
      <c r="C940" s="1"/>
      <c r="D940" s="1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4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</row>
    <row r="941" spans="1:107" ht="23.25" customHeight="1">
      <c r="A941" s="1"/>
      <c r="B941" s="2"/>
      <c r="C941" s="1"/>
      <c r="D941" s="1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4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</row>
    <row r="942" spans="1:107" ht="23.25" customHeight="1">
      <c r="A942" s="1"/>
      <c r="B942" s="2"/>
      <c r="C942" s="1"/>
      <c r="D942" s="1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4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</row>
    <row r="943" spans="1:107" ht="23.25" customHeight="1">
      <c r="A943" s="1"/>
      <c r="B943" s="2"/>
      <c r="C943" s="1"/>
      <c r="D943" s="1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4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</row>
    <row r="944" spans="1:107" ht="23.25" customHeight="1">
      <c r="A944" s="1"/>
      <c r="B944" s="2"/>
      <c r="C944" s="1"/>
      <c r="D944" s="1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4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</row>
    <row r="945" spans="1:107" ht="23.25" customHeight="1">
      <c r="A945" s="1"/>
      <c r="B945" s="2"/>
      <c r="C945" s="1"/>
      <c r="D945" s="1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4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</row>
    <row r="946" spans="1:107" ht="23.25" customHeight="1">
      <c r="A946" s="1"/>
      <c r="B946" s="2"/>
      <c r="C946" s="1"/>
      <c r="D946" s="1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4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</row>
    <row r="947" spans="1:107" ht="23.25" customHeight="1">
      <c r="A947" s="1"/>
      <c r="B947" s="2"/>
      <c r="C947" s="1"/>
      <c r="D947" s="1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4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</row>
    <row r="948" spans="1:107" ht="23.25" customHeight="1">
      <c r="A948" s="1"/>
      <c r="B948" s="2"/>
      <c r="C948" s="1"/>
      <c r="D948" s="1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4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</row>
    <row r="949" spans="1:107" ht="23.25" customHeight="1">
      <c r="A949" s="1"/>
      <c r="B949" s="2"/>
      <c r="C949" s="1"/>
      <c r="D949" s="1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4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</row>
    <row r="950" spans="1:107" ht="23.25" customHeight="1">
      <c r="A950" s="1"/>
      <c r="B950" s="2"/>
      <c r="C950" s="1"/>
      <c r="D950" s="1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4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</row>
    <row r="951" spans="1:107" ht="23.25" customHeight="1">
      <c r="A951" s="1"/>
      <c r="B951" s="2"/>
      <c r="C951" s="1"/>
      <c r="D951" s="1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4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</row>
    <row r="952" spans="1:107" ht="23.25" customHeight="1">
      <c r="A952" s="1"/>
      <c r="B952" s="2"/>
      <c r="C952" s="1"/>
      <c r="D952" s="1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4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</row>
    <row r="953" spans="1:107" ht="23.25" customHeight="1">
      <c r="A953" s="1"/>
      <c r="B953" s="2"/>
      <c r="C953" s="1"/>
      <c r="D953" s="1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4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</row>
    <row r="954" spans="1:107" ht="23.25" customHeight="1">
      <c r="A954" s="1"/>
      <c r="B954" s="2"/>
      <c r="C954" s="1"/>
      <c r="D954" s="1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4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</row>
    <row r="955" spans="1:107" ht="23.25" customHeight="1">
      <c r="A955" s="1"/>
      <c r="B955" s="2"/>
      <c r="C955" s="1"/>
      <c r="D955" s="1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4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</row>
    <row r="956" spans="1:107" ht="23.25" customHeight="1">
      <c r="A956" s="1"/>
      <c r="B956" s="2"/>
      <c r="C956" s="1"/>
      <c r="D956" s="1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4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</row>
    <row r="957" spans="1:107" ht="23.25" customHeight="1">
      <c r="A957" s="1"/>
      <c r="B957" s="2"/>
      <c r="C957" s="1"/>
      <c r="D957" s="1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4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</row>
    <row r="958" spans="1:107" ht="23.25" customHeight="1">
      <c r="A958" s="1"/>
      <c r="B958" s="2"/>
      <c r="C958" s="1"/>
      <c r="D958" s="1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4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</row>
    <row r="959" spans="1:107" ht="23.25" customHeight="1">
      <c r="A959" s="1"/>
      <c r="B959" s="2"/>
      <c r="C959" s="1"/>
      <c r="D959" s="1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4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</row>
    <row r="960" spans="1:107" ht="23.25" customHeight="1">
      <c r="A960" s="1"/>
      <c r="B960" s="2"/>
      <c r="C960" s="1"/>
      <c r="D960" s="1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4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</row>
    <row r="961" spans="1:107" ht="23.25" customHeight="1">
      <c r="A961" s="1"/>
      <c r="B961" s="2"/>
      <c r="C961" s="1"/>
      <c r="D961" s="1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4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</row>
    <row r="962" spans="1:107" ht="23.25" customHeight="1">
      <c r="A962" s="1"/>
      <c r="B962" s="2"/>
      <c r="C962" s="1"/>
      <c r="D962" s="1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4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</row>
    <row r="963" spans="1:107" ht="23.25" customHeight="1">
      <c r="A963" s="1"/>
      <c r="B963" s="2"/>
      <c r="C963" s="1"/>
      <c r="D963" s="1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4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</row>
    <row r="964" spans="1:107" ht="23.25" customHeight="1">
      <c r="A964" s="1"/>
      <c r="B964" s="2"/>
      <c r="C964" s="1"/>
      <c r="D964" s="1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4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</row>
    <row r="965" spans="1:107" ht="23.25" customHeight="1">
      <c r="A965" s="1"/>
      <c r="B965" s="2"/>
      <c r="C965" s="1"/>
      <c r="D965" s="1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4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</row>
    <row r="966" spans="1:107" ht="23.25" customHeight="1">
      <c r="A966" s="1"/>
      <c r="B966" s="2"/>
      <c r="C966" s="1"/>
      <c r="D966" s="1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4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</row>
    <row r="967" spans="1:107" ht="23.25" customHeight="1">
      <c r="A967" s="1"/>
      <c r="B967" s="2"/>
      <c r="C967" s="1"/>
      <c r="D967" s="1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4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</row>
    <row r="968" spans="1:107" ht="23.25" customHeight="1">
      <c r="A968" s="1"/>
      <c r="B968" s="2"/>
      <c r="C968" s="1"/>
      <c r="D968" s="1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4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</row>
    <row r="969" spans="1:107" ht="23.25" customHeight="1">
      <c r="A969" s="1"/>
      <c r="B969" s="2"/>
      <c r="C969" s="1"/>
      <c r="D969" s="1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4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</row>
    <row r="970" spans="1:107" ht="23.25" customHeight="1">
      <c r="A970" s="1"/>
      <c r="B970" s="2"/>
      <c r="C970" s="1"/>
      <c r="D970" s="1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4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</row>
    <row r="971" spans="1:107" ht="23.25" customHeight="1">
      <c r="A971" s="1"/>
      <c r="B971" s="2"/>
      <c r="C971" s="1"/>
      <c r="D971" s="1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4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</row>
    <row r="972" spans="1:107" ht="23.25" customHeight="1">
      <c r="A972" s="1"/>
      <c r="B972" s="2"/>
      <c r="C972" s="1"/>
      <c r="D972" s="1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4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</row>
    <row r="973" spans="1:107" ht="23.25" customHeight="1">
      <c r="A973" s="1"/>
      <c r="B973" s="2"/>
      <c r="C973" s="1"/>
      <c r="D973" s="1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4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</row>
    <row r="974" spans="1:107" ht="23.25" customHeight="1">
      <c r="A974" s="1"/>
      <c r="B974" s="2"/>
      <c r="C974" s="1"/>
      <c r="D974" s="1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4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</row>
    <row r="975" spans="1:107" ht="23.25" customHeight="1">
      <c r="A975" s="1"/>
      <c r="B975" s="2"/>
      <c r="C975" s="1"/>
      <c r="D975" s="1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4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</row>
    <row r="976" spans="1:107" ht="23.25" customHeight="1">
      <c r="A976" s="1"/>
      <c r="B976" s="2"/>
      <c r="C976" s="1"/>
      <c r="D976" s="1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4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</row>
    <row r="977" spans="1:107" ht="23.25" customHeight="1">
      <c r="A977" s="1"/>
      <c r="B977" s="2"/>
      <c r="C977" s="1"/>
      <c r="D977" s="1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4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</row>
    <row r="978" spans="1:107" ht="23.25" customHeight="1">
      <c r="A978" s="1"/>
      <c r="B978" s="2"/>
      <c r="C978" s="1"/>
      <c r="D978" s="1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4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</row>
    <row r="979" spans="1:107" ht="23.25" customHeight="1">
      <c r="A979" s="1"/>
      <c r="B979" s="2"/>
      <c r="C979" s="1"/>
      <c r="D979" s="1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4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</row>
    <row r="980" spans="1:107" ht="23.25" customHeight="1">
      <c r="A980" s="1"/>
      <c r="B980" s="2"/>
      <c r="C980" s="1"/>
      <c r="D980" s="1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4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</row>
    <row r="981" spans="1:107" ht="23.25" customHeight="1">
      <c r="A981" s="1"/>
      <c r="B981" s="2"/>
      <c r="C981" s="1"/>
      <c r="D981" s="1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4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</row>
    <row r="982" spans="1:107" ht="23.25" customHeight="1">
      <c r="A982" s="1"/>
      <c r="B982" s="2"/>
      <c r="C982" s="1"/>
      <c r="D982" s="1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4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</row>
    <row r="983" spans="1:107" ht="23.25" customHeight="1">
      <c r="A983" s="1"/>
      <c r="B983" s="2"/>
      <c r="C983" s="1"/>
      <c r="D983" s="1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4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</row>
    <row r="984" spans="1:107" ht="23.25" customHeight="1">
      <c r="A984" s="1"/>
      <c r="B984" s="2"/>
      <c r="C984" s="1"/>
      <c r="D984" s="1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4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</row>
    <row r="985" spans="1:107" ht="23.25" customHeight="1">
      <c r="A985" s="1"/>
      <c r="B985" s="2"/>
      <c r="C985" s="1"/>
      <c r="D985" s="1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4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</row>
    <row r="986" spans="1:107" ht="23.25" customHeight="1">
      <c r="A986" s="1"/>
      <c r="B986" s="2"/>
      <c r="C986" s="1"/>
      <c r="D986" s="1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4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</row>
    <row r="987" spans="1:107" ht="23.25" customHeight="1">
      <c r="A987" s="1"/>
      <c r="B987" s="2"/>
      <c r="C987" s="1"/>
      <c r="D987" s="1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4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</row>
    <row r="988" spans="1:107" ht="23.25" customHeight="1">
      <c r="A988" s="1"/>
      <c r="B988" s="2"/>
      <c r="C988" s="1"/>
      <c r="D988" s="1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4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</row>
    <row r="989" spans="1:107" ht="23.25" customHeight="1">
      <c r="A989" s="1"/>
      <c r="B989" s="2"/>
      <c r="C989" s="1"/>
      <c r="D989" s="1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4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</row>
    <row r="990" spans="1:107" ht="23.25" customHeight="1">
      <c r="A990" s="1"/>
      <c r="B990" s="2"/>
      <c r="C990" s="1"/>
      <c r="D990" s="1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4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</row>
    <row r="991" spans="1:107" ht="23.25" customHeight="1">
      <c r="A991" s="1"/>
      <c r="B991" s="2"/>
      <c r="C991" s="1"/>
      <c r="D991" s="1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4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</row>
    <row r="992" spans="1:107" ht="23.25" customHeight="1">
      <c r="A992" s="1"/>
      <c r="B992" s="2"/>
      <c r="C992" s="1"/>
      <c r="D992" s="1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4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</row>
    <row r="993" spans="1:107" ht="23.25" customHeight="1">
      <c r="A993" s="1"/>
      <c r="B993" s="2"/>
      <c r="C993" s="1"/>
      <c r="D993" s="1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4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</row>
    <row r="994" spans="1:107" ht="23.25" customHeight="1">
      <c r="A994" s="1"/>
      <c r="B994" s="2"/>
      <c r="C994" s="1"/>
      <c r="D994" s="1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4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</row>
    <row r="995" spans="1:107" ht="23.25" customHeight="1">
      <c r="A995" s="1"/>
      <c r="B995" s="2"/>
      <c r="C995" s="1"/>
      <c r="D995" s="1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4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</row>
    <row r="996" spans="1:107" ht="23.25" customHeight="1">
      <c r="A996" s="1"/>
      <c r="B996" s="2"/>
      <c r="C996" s="1"/>
      <c r="D996" s="1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4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</row>
    <row r="997" spans="1:107" ht="23.25" customHeight="1">
      <c r="A997" s="1"/>
      <c r="B997" s="2"/>
      <c r="C997" s="1"/>
      <c r="D997" s="1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4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</row>
    <row r="998" spans="1:107" ht="23.25" customHeight="1">
      <c r="A998" s="1"/>
      <c r="B998" s="2"/>
      <c r="C998" s="1"/>
      <c r="D998" s="1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4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</row>
    <row r="999" spans="1:107" ht="23.25" customHeight="1">
      <c r="A999" s="1"/>
      <c r="B999" s="2"/>
      <c r="C999" s="1"/>
      <c r="D999" s="1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4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</row>
    <row r="1000" spans="1:107" ht="23.25" customHeight="1">
      <c r="A1000" s="1"/>
      <c r="B1000" s="2"/>
      <c r="C1000" s="1"/>
      <c r="D1000" s="1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4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</row>
  </sheetData>
  <mergeCells count="76">
    <mergeCell ref="B64:I65"/>
    <mergeCell ref="A8:A26"/>
    <mergeCell ref="B8:B12"/>
    <mergeCell ref="B13:B17"/>
    <mergeCell ref="B18:B22"/>
    <mergeCell ref="B23:B26"/>
    <mergeCell ref="B28:B33"/>
    <mergeCell ref="B45:B50"/>
    <mergeCell ref="B34:B38"/>
    <mergeCell ref="B40:B44"/>
    <mergeCell ref="A28:A50"/>
    <mergeCell ref="A52:A62"/>
    <mergeCell ref="B52:B56"/>
    <mergeCell ref="B57:B60"/>
    <mergeCell ref="B61:B62"/>
    <mergeCell ref="BR3:BZ3"/>
    <mergeCell ref="CB3:CO3"/>
    <mergeCell ref="CP3:DC3"/>
    <mergeCell ref="AD3:AE3"/>
    <mergeCell ref="AF3:AG3"/>
    <mergeCell ref="AI3:AP3"/>
    <mergeCell ref="AQ3:AV3"/>
    <mergeCell ref="AW3:BB3"/>
    <mergeCell ref="BC3:BH3"/>
    <mergeCell ref="BI3:BQ3"/>
    <mergeCell ref="A2:J2"/>
    <mergeCell ref="A3:D3"/>
    <mergeCell ref="L3:O3"/>
    <mergeCell ref="P3:R3"/>
    <mergeCell ref="S3:U3"/>
    <mergeCell ref="V3:Z3"/>
    <mergeCell ref="AA3:AC3"/>
    <mergeCell ref="AI4:AP4"/>
    <mergeCell ref="AQ4:AV4"/>
    <mergeCell ref="AW4:BB4"/>
    <mergeCell ref="AD4:AE4"/>
    <mergeCell ref="AF4:AG4"/>
    <mergeCell ref="BC4:BH4"/>
    <mergeCell ref="BI4:BQ4"/>
    <mergeCell ref="BR4:BZ4"/>
    <mergeCell ref="CB4:CO4"/>
    <mergeCell ref="CP4:DC4"/>
    <mergeCell ref="L4:O4"/>
    <mergeCell ref="P4:R4"/>
    <mergeCell ref="S4:U4"/>
    <mergeCell ref="V4:Z4"/>
    <mergeCell ref="AA4:AC4"/>
    <mergeCell ref="L5:N5"/>
    <mergeCell ref="P5:Q5"/>
    <mergeCell ref="S5:T5"/>
    <mergeCell ref="V5:Y5"/>
    <mergeCell ref="AA5:AB5"/>
    <mergeCell ref="AI5:AJ5"/>
    <mergeCell ref="AK5:AM5"/>
    <mergeCell ref="CB5:CE5"/>
    <mergeCell ref="CF5:CL5"/>
    <mergeCell ref="CM5:CO5"/>
    <mergeCell ref="BU5:BW5"/>
    <mergeCell ref="BX5:BZ5"/>
    <mergeCell ref="BC5:BD5"/>
    <mergeCell ref="BE5:BF5"/>
    <mergeCell ref="BG5:BH5"/>
    <mergeCell ref="BI5:BM5"/>
    <mergeCell ref="BN5:BO5"/>
    <mergeCell ref="BP5:BQ5"/>
    <mergeCell ref="BR5:BT5"/>
    <mergeCell ref="CP5:CS5"/>
    <mergeCell ref="CT5:CW5"/>
    <mergeCell ref="CX5:DC5"/>
    <mergeCell ref="AN5:AP5"/>
    <mergeCell ref="AQ5:AR5"/>
    <mergeCell ref="AS5:AT5"/>
    <mergeCell ref="AU5:AV5"/>
    <mergeCell ref="AW5:AX5"/>
    <mergeCell ref="AY5:AZ5"/>
    <mergeCell ref="BA5:BB5"/>
  </mergeCells>
  <conditionalFormatting sqref="L7:AG7 AI7:BZ7 CB7:DC7 F8:F26 F28:F50 F52:F62">
    <cfRule type="cellIs" dxfId="0" priority="1" operator="equal">
      <formula>0</formula>
    </cfRule>
  </conditionalFormatting>
  <pageMargins left="0.7" right="0.7" top="0.75" bottom="0.75" header="0" footer="0"/>
  <pageSetup paperSize="5" fitToWidth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V1000"/>
  <sheetViews>
    <sheetView workbookViewId="0"/>
  </sheetViews>
  <sheetFormatPr defaultColWidth="11.125" defaultRowHeight="15" customHeight="1"/>
  <cols>
    <col min="1" max="2" width="10.5" customWidth="1"/>
    <col min="3" max="3" width="56.125" customWidth="1"/>
    <col min="4" max="4" width="10.5" customWidth="1"/>
    <col min="5" max="5" width="25.375" customWidth="1"/>
    <col min="6" max="6" width="25.5" customWidth="1"/>
    <col min="7" max="7" width="23.125" customWidth="1"/>
    <col min="8" max="9" width="25.875" customWidth="1"/>
    <col min="10" max="10" width="42.125" customWidth="1"/>
    <col min="11" max="12" width="19.875" customWidth="1"/>
    <col min="13" max="13" width="23.625" customWidth="1"/>
    <col min="14" max="14" width="22.375" customWidth="1"/>
    <col min="15" max="15" width="31.125" customWidth="1"/>
    <col min="16" max="16" width="21" customWidth="1"/>
    <col min="17" max="17" width="28.625" customWidth="1"/>
    <col min="18" max="18" width="22.375" customWidth="1"/>
    <col min="19" max="19" width="17.875" customWidth="1"/>
    <col min="20" max="20" width="20.125" customWidth="1"/>
    <col min="21" max="21" width="17.5" customWidth="1"/>
    <col min="22" max="22" width="20.625" customWidth="1"/>
    <col min="23" max="26" width="10.5" customWidth="1"/>
  </cols>
  <sheetData>
    <row r="1" spans="3:22" ht="15.75" customHeight="1">
      <c r="I1" s="1"/>
      <c r="J1" s="1"/>
    </row>
    <row r="2" spans="3:22" ht="15.75" customHeight="1">
      <c r="I2" s="1"/>
      <c r="J2" s="1"/>
    </row>
    <row r="3" spans="3:22" ht="15.75" customHeight="1">
      <c r="I3" s="1"/>
      <c r="J3" s="1"/>
    </row>
    <row r="4" spans="3:22" ht="15.75" customHeight="1">
      <c r="E4" s="329" t="s">
        <v>284</v>
      </c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4"/>
    </row>
    <row r="5" spans="3:22" ht="43.5" customHeight="1">
      <c r="E5" s="448" t="s">
        <v>31</v>
      </c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4"/>
    </row>
    <row r="6" spans="3:22" ht="36.75" customHeight="1">
      <c r="E6" s="448" t="s">
        <v>66</v>
      </c>
      <c r="F6" s="323"/>
      <c r="G6" s="323"/>
      <c r="H6" s="324"/>
      <c r="I6" s="449"/>
      <c r="J6" s="449"/>
      <c r="K6" s="448" t="s">
        <v>67</v>
      </c>
      <c r="L6" s="323"/>
      <c r="M6" s="323"/>
      <c r="N6" s="323"/>
      <c r="O6" s="323"/>
      <c r="P6" s="323"/>
      <c r="Q6" s="324"/>
      <c r="R6" s="448" t="s">
        <v>68</v>
      </c>
      <c r="S6" s="323"/>
      <c r="T6" s="324"/>
    </row>
    <row r="7" spans="3:22" ht="151.5" customHeight="1">
      <c r="E7" s="32" t="s">
        <v>285</v>
      </c>
      <c r="F7" s="33" t="s">
        <v>286</v>
      </c>
      <c r="G7" s="34" t="s">
        <v>287</v>
      </c>
      <c r="H7" s="32" t="s">
        <v>149</v>
      </c>
      <c r="I7" s="450"/>
      <c r="J7" s="450"/>
      <c r="K7" s="35" t="s">
        <v>150</v>
      </c>
      <c r="L7" s="35" t="s">
        <v>151</v>
      </c>
      <c r="M7" s="35" t="s">
        <v>288</v>
      </c>
      <c r="N7" s="35" t="s">
        <v>153</v>
      </c>
      <c r="O7" s="35" t="s">
        <v>154</v>
      </c>
      <c r="P7" s="35" t="s">
        <v>155</v>
      </c>
      <c r="Q7" s="35" t="s">
        <v>156</v>
      </c>
      <c r="R7" s="36" t="s">
        <v>289</v>
      </c>
      <c r="S7" s="36" t="s">
        <v>290</v>
      </c>
      <c r="T7" s="36" t="s">
        <v>291</v>
      </c>
    </row>
    <row r="8" spans="3:22" ht="15.75" customHeight="1">
      <c r="I8" s="1"/>
      <c r="J8" s="1"/>
    </row>
    <row r="9" spans="3:22" ht="15.75" customHeight="1">
      <c r="I9" s="1"/>
      <c r="J9" s="1"/>
    </row>
    <row r="10" spans="3:22" ht="15.75" customHeight="1">
      <c r="I10" s="1"/>
      <c r="J10" s="1"/>
    </row>
    <row r="11" spans="3:22" ht="15.75" customHeight="1">
      <c r="I11" s="1"/>
      <c r="J11" s="1"/>
    </row>
    <row r="12" spans="3:22" ht="15.75" customHeight="1">
      <c r="D12" s="451" t="s">
        <v>292</v>
      </c>
      <c r="E12" s="323"/>
      <c r="F12" s="323"/>
      <c r="G12" s="323"/>
      <c r="H12" s="324"/>
      <c r="I12" s="3"/>
      <c r="J12" s="3"/>
      <c r="K12" s="451" t="s">
        <v>292</v>
      </c>
      <c r="L12" s="323"/>
      <c r="M12" s="323"/>
      <c r="N12" s="323"/>
      <c r="O12" s="324"/>
      <c r="Q12" s="260" t="s">
        <v>292</v>
      </c>
      <c r="R12" s="260"/>
      <c r="S12" s="260"/>
      <c r="T12" s="260"/>
      <c r="U12" s="260"/>
      <c r="V12" s="261"/>
    </row>
    <row r="13" spans="3:22" ht="15.75" customHeight="1">
      <c r="D13" s="452" t="s">
        <v>293</v>
      </c>
      <c r="E13" s="453" t="s">
        <v>294</v>
      </c>
      <c r="F13" s="454" t="s">
        <v>295</v>
      </c>
      <c r="G13" s="262" t="s">
        <v>296</v>
      </c>
      <c r="H13" s="455" t="s">
        <v>297</v>
      </c>
      <c r="I13" s="263"/>
      <c r="J13" s="263"/>
      <c r="K13" s="452" t="s">
        <v>293</v>
      </c>
      <c r="L13" s="453" t="s">
        <v>294</v>
      </c>
      <c r="M13" s="454" t="s">
        <v>295</v>
      </c>
      <c r="N13" s="262" t="s">
        <v>296</v>
      </c>
      <c r="O13" s="455" t="s">
        <v>297</v>
      </c>
      <c r="R13" s="452" t="s">
        <v>293</v>
      </c>
      <c r="S13" s="453" t="s">
        <v>294</v>
      </c>
      <c r="T13" s="454" t="s">
        <v>295</v>
      </c>
      <c r="U13" s="262" t="s">
        <v>296</v>
      </c>
      <c r="V13" s="455" t="s">
        <v>297</v>
      </c>
    </row>
    <row r="14" spans="3:22" ht="79.5" customHeight="1">
      <c r="C14" s="32" t="s">
        <v>285</v>
      </c>
      <c r="D14" s="264" t="s">
        <v>174</v>
      </c>
      <c r="E14" s="265" t="s">
        <v>298</v>
      </c>
      <c r="F14" s="266" t="s">
        <v>299</v>
      </c>
      <c r="G14" s="266" t="s">
        <v>300</v>
      </c>
      <c r="H14" s="267" t="s">
        <v>301</v>
      </c>
      <c r="I14" s="268"/>
      <c r="J14" s="35" t="s">
        <v>150</v>
      </c>
      <c r="K14" s="269" t="s">
        <v>214</v>
      </c>
      <c r="L14" s="270" t="s">
        <v>302</v>
      </c>
      <c r="M14" s="271" t="s">
        <v>303</v>
      </c>
      <c r="N14" s="272" t="s">
        <v>304</v>
      </c>
      <c r="O14" s="271" t="s">
        <v>305</v>
      </c>
      <c r="Q14" s="36" t="s">
        <v>289</v>
      </c>
      <c r="R14" s="273" t="s">
        <v>263</v>
      </c>
      <c r="S14" s="274" t="s">
        <v>306</v>
      </c>
      <c r="T14" s="275" t="s">
        <v>307</v>
      </c>
      <c r="U14" s="275" t="s">
        <v>308</v>
      </c>
      <c r="V14" s="275" t="s">
        <v>309</v>
      </c>
    </row>
    <row r="15" spans="3:22" ht="102.75" customHeight="1">
      <c r="C15" s="32" t="s">
        <v>310</v>
      </c>
      <c r="D15" s="276" t="s">
        <v>174</v>
      </c>
      <c r="E15" s="277" t="s">
        <v>311</v>
      </c>
      <c r="F15" s="266" t="s">
        <v>312</v>
      </c>
      <c r="G15" s="266" t="s">
        <v>313</v>
      </c>
      <c r="H15" s="278" t="s">
        <v>314</v>
      </c>
      <c r="I15" s="268"/>
      <c r="J15" s="35" t="s">
        <v>151</v>
      </c>
      <c r="K15" s="269" t="s">
        <v>214</v>
      </c>
      <c r="L15" s="270" t="s">
        <v>315</v>
      </c>
      <c r="M15" s="271" t="s">
        <v>316</v>
      </c>
      <c r="N15" s="271" t="s">
        <v>317</v>
      </c>
      <c r="O15" s="271" t="s">
        <v>318</v>
      </c>
      <c r="Q15" s="36" t="s">
        <v>290</v>
      </c>
      <c r="R15" s="273" t="s">
        <v>263</v>
      </c>
      <c r="S15" s="274" t="s">
        <v>319</v>
      </c>
      <c r="T15" s="275" t="s">
        <v>320</v>
      </c>
      <c r="U15" s="275" t="s">
        <v>321</v>
      </c>
      <c r="V15" s="275" t="s">
        <v>322</v>
      </c>
    </row>
    <row r="16" spans="3:22" ht="82.5" customHeight="1">
      <c r="C16" s="34" t="s">
        <v>287</v>
      </c>
      <c r="D16" s="276" t="s">
        <v>174</v>
      </c>
      <c r="E16" s="279" t="s">
        <v>323</v>
      </c>
      <c r="F16" s="280" t="s">
        <v>324</v>
      </c>
      <c r="G16" s="280" t="s">
        <v>325</v>
      </c>
      <c r="H16" s="278" t="s">
        <v>314</v>
      </c>
      <c r="I16" s="268"/>
      <c r="J16" s="35" t="s">
        <v>288</v>
      </c>
      <c r="K16" s="269" t="s">
        <v>326</v>
      </c>
      <c r="L16" s="270" t="s">
        <v>319</v>
      </c>
      <c r="M16" s="271" t="s">
        <v>327</v>
      </c>
      <c r="N16" s="271" t="s">
        <v>328</v>
      </c>
      <c r="O16" s="271" t="s">
        <v>329</v>
      </c>
      <c r="Q16" s="36" t="s">
        <v>291</v>
      </c>
      <c r="R16" s="273" t="s">
        <v>263</v>
      </c>
      <c r="S16" s="274" t="s">
        <v>319</v>
      </c>
      <c r="T16" s="275" t="s">
        <v>330</v>
      </c>
      <c r="U16" s="275" t="s">
        <v>331</v>
      </c>
      <c r="V16" s="275" t="s">
        <v>332</v>
      </c>
    </row>
    <row r="17" spans="3:15" ht="78" customHeight="1">
      <c r="C17" s="32" t="s">
        <v>333</v>
      </c>
      <c r="D17" s="281" t="s">
        <v>174</v>
      </c>
      <c r="E17" s="279" t="s">
        <v>334</v>
      </c>
      <c r="F17" s="282" t="s">
        <v>335</v>
      </c>
      <c r="G17" s="266" t="s">
        <v>336</v>
      </c>
      <c r="H17" s="278" t="s">
        <v>314</v>
      </c>
      <c r="I17" s="268"/>
      <c r="J17" s="35" t="s">
        <v>153</v>
      </c>
      <c r="K17" s="269" t="s">
        <v>214</v>
      </c>
      <c r="L17" s="270" t="s">
        <v>337</v>
      </c>
      <c r="M17" s="271" t="s">
        <v>338</v>
      </c>
      <c r="N17" s="271" t="s">
        <v>339</v>
      </c>
      <c r="O17" s="271" t="s">
        <v>305</v>
      </c>
    </row>
    <row r="18" spans="3:15" ht="60" customHeight="1">
      <c r="I18" s="268"/>
      <c r="J18" s="35" t="s">
        <v>154</v>
      </c>
      <c r="K18" s="269" t="s">
        <v>214</v>
      </c>
      <c r="L18" s="270" t="s">
        <v>337</v>
      </c>
      <c r="M18" s="271" t="s">
        <v>340</v>
      </c>
      <c r="N18" s="271" t="s">
        <v>341</v>
      </c>
      <c r="O18" s="271" t="s">
        <v>342</v>
      </c>
    </row>
    <row r="19" spans="3:15" ht="75" customHeight="1">
      <c r="I19" s="283"/>
      <c r="J19" s="35" t="s">
        <v>155</v>
      </c>
      <c r="K19" s="269" t="s">
        <v>214</v>
      </c>
      <c r="L19" s="270" t="s">
        <v>343</v>
      </c>
      <c r="M19" s="271" t="s">
        <v>344</v>
      </c>
      <c r="N19" s="271" t="s">
        <v>345</v>
      </c>
      <c r="O19" s="271" t="s">
        <v>346</v>
      </c>
    </row>
    <row r="20" spans="3:15" ht="77.25" customHeight="1">
      <c r="I20" s="283"/>
      <c r="J20" s="35" t="s">
        <v>156</v>
      </c>
      <c r="K20" s="269" t="s">
        <v>214</v>
      </c>
      <c r="L20" s="270" t="s">
        <v>298</v>
      </c>
      <c r="M20" s="271" t="s">
        <v>347</v>
      </c>
      <c r="N20" s="271" t="s">
        <v>328</v>
      </c>
      <c r="O20" s="271" t="s">
        <v>348</v>
      </c>
    </row>
    <row r="21" spans="3:15" ht="60" customHeight="1">
      <c r="I21" s="268"/>
      <c r="J21" s="268"/>
    </row>
    <row r="22" spans="3:15" ht="60" customHeight="1">
      <c r="I22" s="268"/>
      <c r="J22" s="268"/>
    </row>
    <row r="23" spans="3:15" ht="60" customHeight="1">
      <c r="I23" s="268"/>
      <c r="J23" s="268"/>
    </row>
    <row r="24" spans="3:15" ht="60" customHeight="1">
      <c r="I24" s="268"/>
      <c r="J24" s="268"/>
    </row>
    <row r="25" spans="3:15" ht="60" customHeight="1">
      <c r="I25" s="268"/>
      <c r="J25" s="268"/>
    </row>
    <row r="26" spans="3:15" ht="69" customHeight="1">
      <c r="I26" s="268"/>
      <c r="J26" s="268"/>
    </row>
    <row r="27" spans="3:15" ht="60" customHeight="1">
      <c r="I27" s="268"/>
      <c r="J27" s="268"/>
    </row>
    <row r="28" spans="3:15" ht="15.75" customHeight="1">
      <c r="I28" s="1"/>
      <c r="J28" s="1"/>
    </row>
    <row r="29" spans="3:15" ht="15.75" customHeight="1">
      <c r="I29" s="1"/>
      <c r="J29" s="1"/>
    </row>
    <row r="30" spans="3:15" ht="15.75" customHeight="1">
      <c r="I30" s="1"/>
      <c r="J30" s="1"/>
    </row>
    <row r="31" spans="3:15" ht="15.75" customHeight="1">
      <c r="I31" s="1"/>
      <c r="J31" s="1"/>
    </row>
    <row r="32" spans="3:15" ht="15.75" customHeight="1">
      <c r="I32" s="1"/>
      <c r="J32" s="1"/>
    </row>
    <row r="33" spans="9:10" ht="15.75" customHeight="1">
      <c r="I33" s="1"/>
      <c r="J33" s="1"/>
    </row>
    <row r="34" spans="9:10" ht="15.75" customHeight="1">
      <c r="I34" s="1"/>
      <c r="J34" s="1"/>
    </row>
    <row r="35" spans="9:10" ht="15.75" customHeight="1">
      <c r="I35" s="1"/>
      <c r="J35" s="1"/>
    </row>
    <row r="36" spans="9:10" ht="15.75" customHeight="1">
      <c r="I36" s="1"/>
      <c r="J36" s="1"/>
    </row>
    <row r="37" spans="9:10" ht="15.75" customHeight="1">
      <c r="I37" s="1"/>
      <c r="J37" s="1"/>
    </row>
    <row r="38" spans="9:10" ht="15.75" customHeight="1">
      <c r="I38" s="1"/>
      <c r="J38" s="1"/>
    </row>
    <row r="39" spans="9:10" ht="15.75" customHeight="1">
      <c r="I39" s="1"/>
      <c r="J39" s="1"/>
    </row>
    <row r="40" spans="9:10" ht="15.75" customHeight="1">
      <c r="I40" s="1"/>
      <c r="J40" s="1"/>
    </row>
    <row r="41" spans="9:10" ht="15.75" customHeight="1">
      <c r="I41" s="1"/>
      <c r="J41" s="1"/>
    </row>
    <row r="42" spans="9:10" ht="15.75" customHeight="1">
      <c r="I42" s="1"/>
      <c r="J42" s="1"/>
    </row>
    <row r="43" spans="9:10" ht="15.75" customHeight="1">
      <c r="I43" s="1"/>
      <c r="J43" s="1"/>
    </row>
    <row r="44" spans="9:10" ht="15.75" customHeight="1">
      <c r="I44" s="1"/>
      <c r="J44" s="1"/>
    </row>
    <row r="45" spans="9:10" ht="15.75" customHeight="1">
      <c r="I45" s="1"/>
      <c r="J45" s="1"/>
    </row>
    <row r="46" spans="9:10" ht="15.75" customHeight="1">
      <c r="I46" s="1"/>
      <c r="J46" s="1"/>
    </row>
    <row r="47" spans="9:10" ht="15.75" customHeight="1">
      <c r="I47" s="1"/>
      <c r="J47" s="1"/>
    </row>
    <row r="48" spans="9:10" ht="15.75" customHeight="1">
      <c r="I48" s="1"/>
      <c r="J48" s="1"/>
    </row>
    <row r="49" spans="9:10" ht="15.75" customHeight="1">
      <c r="I49" s="1"/>
      <c r="J49" s="1"/>
    </row>
    <row r="50" spans="9:10" ht="15.75" customHeight="1">
      <c r="I50" s="1"/>
      <c r="J50" s="1"/>
    </row>
    <row r="51" spans="9:10" ht="15.75" customHeight="1">
      <c r="I51" s="1"/>
      <c r="J51" s="1"/>
    </row>
    <row r="52" spans="9:10" ht="15.75" customHeight="1">
      <c r="I52" s="1"/>
      <c r="J52" s="1"/>
    </row>
    <row r="53" spans="9:10" ht="15.75" customHeight="1">
      <c r="I53" s="1"/>
      <c r="J53" s="1"/>
    </row>
    <row r="54" spans="9:10" ht="15.75" customHeight="1">
      <c r="I54" s="1"/>
      <c r="J54" s="1"/>
    </row>
    <row r="55" spans="9:10" ht="15.75" customHeight="1">
      <c r="I55" s="1"/>
      <c r="J55" s="1"/>
    </row>
    <row r="56" spans="9:10" ht="15.75" customHeight="1">
      <c r="I56" s="1"/>
      <c r="J56" s="1"/>
    </row>
    <row r="57" spans="9:10" ht="15.75" customHeight="1">
      <c r="I57" s="1"/>
      <c r="J57" s="1"/>
    </row>
    <row r="58" spans="9:10" ht="15.75" customHeight="1">
      <c r="I58" s="1"/>
      <c r="J58" s="1"/>
    </row>
    <row r="59" spans="9:10" ht="15.75" customHeight="1">
      <c r="I59" s="1"/>
      <c r="J59" s="1"/>
    </row>
    <row r="60" spans="9:10" ht="15.75" customHeight="1">
      <c r="I60" s="1"/>
      <c r="J60" s="1"/>
    </row>
    <row r="61" spans="9:10" ht="15.75" customHeight="1">
      <c r="I61" s="1"/>
      <c r="J61" s="1"/>
    </row>
    <row r="62" spans="9:10" ht="15.75" customHeight="1">
      <c r="I62" s="1"/>
      <c r="J62" s="1"/>
    </row>
    <row r="63" spans="9:10" ht="15.75" customHeight="1">
      <c r="I63" s="1"/>
      <c r="J63" s="1"/>
    </row>
    <row r="64" spans="9:10" ht="15.75" customHeight="1">
      <c r="I64" s="1"/>
      <c r="J64" s="1"/>
    </row>
    <row r="65" spans="9:10" ht="15.75" customHeight="1">
      <c r="I65" s="1"/>
      <c r="J65" s="1"/>
    </row>
    <row r="66" spans="9:10" ht="15.75" customHeight="1">
      <c r="I66" s="1"/>
      <c r="J66" s="1"/>
    </row>
    <row r="67" spans="9:10" ht="15.75" customHeight="1">
      <c r="I67" s="1"/>
      <c r="J67" s="1"/>
    </row>
    <row r="68" spans="9:10" ht="15.75" customHeight="1">
      <c r="I68" s="1"/>
      <c r="J68" s="1"/>
    </row>
    <row r="69" spans="9:10" ht="15.75" customHeight="1">
      <c r="I69" s="1"/>
      <c r="J69" s="1"/>
    </row>
    <row r="70" spans="9:10" ht="15.75" customHeight="1">
      <c r="I70" s="1"/>
      <c r="J70" s="1"/>
    </row>
    <row r="71" spans="9:10" ht="15.75" customHeight="1">
      <c r="I71" s="1"/>
      <c r="J71" s="1"/>
    </row>
    <row r="72" spans="9:10" ht="15.75" customHeight="1">
      <c r="I72" s="1"/>
      <c r="J72" s="1"/>
    </row>
    <row r="73" spans="9:10" ht="15.75" customHeight="1">
      <c r="I73" s="1"/>
      <c r="J73" s="1"/>
    </row>
    <row r="74" spans="9:10" ht="15.75" customHeight="1">
      <c r="I74" s="1"/>
      <c r="J74" s="1"/>
    </row>
    <row r="75" spans="9:10" ht="15.75" customHeight="1">
      <c r="I75" s="1"/>
      <c r="J75" s="1"/>
    </row>
    <row r="76" spans="9:10" ht="15.75" customHeight="1">
      <c r="I76" s="1"/>
      <c r="J76" s="1"/>
    </row>
    <row r="77" spans="9:10" ht="15.75" customHeight="1">
      <c r="I77" s="1"/>
      <c r="J77" s="1"/>
    </row>
    <row r="78" spans="9:10" ht="15.75" customHeight="1">
      <c r="I78" s="1"/>
      <c r="J78" s="1"/>
    </row>
    <row r="79" spans="9:10" ht="15.75" customHeight="1">
      <c r="I79" s="1"/>
      <c r="J79" s="1"/>
    </row>
    <row r="80" spans="9:10" ht="15.75" customHeight="1">
      <c r="I80" s="1"/>
      <c r="J80" s="1"/>
    </row>
    <row r="81" spans="9:10" ht="15.75" customHeight="1">
      <c r="I81" s="1"/>
      <c r="J81" s="1"/>
    </row>
    <row r="82" spans="9:10" ht="15.75" customHeight="1">
      <c r="I82" s="1"/>
      <c r="J82" s="1"/>
    </row>
    <row r="83" spans="9:10" ht="15.75" customHeight="1">
      <c r="I83" s="1"/>
      <c r="J83" s="1"/>
    </row>
    <row r="84" spans="9:10" ht="15.75" customHeight="1">
      <c r="I84" s="1"/>
      <c r="J84" s="1"/>
    </row>
    <row r="85" spans="9:10" ht="15.75" customHeight="1">
      <c r="I85" s="1"/>
      <c r="J85" s="1"/>
    </row>
    <row r="86" spans="9:10" ht="15.75" customHeight="1">
      <c r="I86" s="1"/>
      <c r="J86" s="1"/>
    </row>
    <row r="87" spans="9:10" ht="15.75" customHeight="1">
      <c r="I87" s="1"/>
      <c r="J87" s="1"/>
    </row>
    <row r="88" spans="9:10" ht="15.75" customHeight="1">
      <c r="I88" s="1"/>
      <c r="J88" s="1"/>
    </row>
    <row r="89" spans="9:10" ht="15.75" customHeight="1">
      <c r="I89" s="1"/>
      <c r="J89" s="1"/>
    </row>
    <row r="90" spans="9:10" ht="15.75" customHeight="1">
      <c r="I90" s="1"/>
      <c r="J90" s="1"/>
    </row>
    <row r="91" spans="9:10" ht="15.75" customHeight="1">
      <c r="I91" s="1"/>
      <c r="J91" s="1"/>
    </row>
    <row r="92" spans="9:10" ht="15.75" customHeight="1">
      <c r="I92" s="1"/>
      <c r="J92" s="1"/>
    </row>
    <row r="93" spans="9:10" ht="15.75" customHeight="1">
      <c r="I93" s="1"/>
      <c r="J93" s="1"/>
    </row>
    <row r="94" spans="9:10" ht="15.75" customHeight="1">
      <c r="I94" s="1"/>
      <c r="J94" s="1"/>
    </row>
    <row r="95" spans="9:10" ht="15.75" customHeight="1">
      <c r="I95" s="1"/>
      <c r="J95" s="1"/>
    </row>
    <row r="96" spans="9:10" ht="15.75" customHeight="1">
      <c r="I96" s="1"/>
      <c r="J96" s="1"/>
    </row>
    <row r="97" spans="9:10" ht="15.75" customHeight="1">
      <c r="I97" s="1"/>
      <c r="J97" s="1"/>
    </row>
    <row r="98" spans="9:10" ht="15.75" customHeight="1">
      <c r="I98" s="1"/>
      <c r="J98" s="1"/>
    </row>
    <row r="99" spans="9:10" ht="15.75" customHeight="1">
      <c r="I99" s="1"/>
      <c r="J99" s="1"/>
    </row>
    <row r="100" spans="9:10" ht="15.75" customHeight="1">
      <c r="I100" s="1"/>
      <c r="J100" s="1"/>
    </row>
    <row r="101" spans="9:10" ht="15.75" customHeight="1">
      <c r="I101" s="1"/>
      <c r="J101" s="1"/>
    </row>
    <row r="102" spans="9:10" ht="15.75" customHeight="1">
      <c r="I102" s="1"/>
      <c r="J102" s="1"/>
    </row>
    <row r="103" spans="9:10" ht="15.75" customHeight="1">
      <c r="I103" s="1"/>
      <c r="J103" s="1"/>
    </row>
    <row r="104" spans="9:10" ht="15.75" customHeight="1">
      <c r="I104" s="1"/>
      <c r="J104" s="1"/>
    </row>
    <row r="105" spans="9:10" ht="15.75" customHeight="1">
      <c r="I105" s="1"/>
      <c r="J105" s="1"/>
    </row>
    <row r="106" spans="9:10" ht="15.75" customHeight="1">
      <c r="I106" s="1"/>
      <c r="J106" s="1"/>
    </row>
    <row r="107" spans="9:10" ht="15.75" customHeight="1">
      <c r="I107" s="1"/>
      <c r="J107" s="1"/>
    </row>
    <row r="108" spans="9:10" ht="15.75" customHeight="1">
      <c r="I108" s="1"/>
      <c r="J108" s="1"/>
    </row>
    <row r="109" spans="9:10" ht="15.75" customHeight="1">
      <c r="I109" s="1"/>
      <c r="J109" s="1"/>
    </row>
    <row r="110" spans="9:10" ht="15.75" customHeight="1">
      <c r="I110" s="1"/>
      <c r="J110" s="1"/>
    </row>
    <row r="111" spans="9:10" ht="15.75" customHeight="1">
      <c r="I111" s="1"/>
      <c r="J111" s="1"/>
    </row>
    <row r="112" spans="9:10" ht="15.75" customHeight="1">
      <c r="I112" s="1"/>
      <c r="J112" s="1"/>
    </row>
    <row r="113" spans="9:10" ht="15.75" customHeight="1">
      <c r="I113" s="1"/>
      <c r="J113" s="1"/>
    </row>
    <row r="114" spans="9:10" ht="15.75" customHeight="1">
      <c r="I114" s="1"/>
      <c r="J114" s="1"/>
    </row>
    <row r="115" spans="9:10" ht="15.75" customHeight="1">
      <c r="I115" s="1"/>
      <c r="J115" s="1"/>
    </row>
    <row r="116" spans="9:10" ht="15.75" customHeight="1">
      <c r="I116" s="1"/>
      <c r="J116" s="1"/>
    </row>
    <row r="117" spans="9:10" ht="15.75" customHeight="1">
      <c r="I117" s="1"/>
      <c r="J117" s="1"/>
    </row>
    <row r="118" spans="9:10" ht="15.75" customHeight="1">
      <c r="I118" s="1"/>
      <c r="J118" s="1"/>
    </row>
    <row r="119" spans="9:10" ht="15.75" customHeight="1">
      <c r="I119" s="1"/>
      <c r="J119" s="1"/>
    </row>
    <row r="120" spans="9:10" ht="15.75" customHeight="1">
      <c r="I120" s="1"/>
      <c r="J120" s="1"/>
    </row>
    <row r="121" spans="9:10" ht="15.75" customHeight="1">
      <c r="I121" s="1"/>
      <c r="J121" s="1"/>
    </row>
    <row r="122" spans="9:10" ht="15.75" customHeight="1">
      <c r="I122" s="1"/>
      <c r="J122" s="1"/>
    </row>
    <row r="123" spans="9:10" ht="15.75" customHeight="1">
      <c r="I123" s="1"/>
      <c r="J123" s="1"/>
    </row>
    <row r="124" spans="9:10" ht="15.75" customHeight="1">
      <c r="I124" s="1"/>
      <c r="J124" s="1"/>
    </row>
    <row r="125" spans="9:10" ht="15.75" customHeight="1">
      <c r="I125" s="1"/>
      <c r="J125" s="1"/>
    </row>
    <row r="126" spans="9:10" ht="15.75" customHeight="1">
      <c r="I126" s="1"/>
      <c r="J126" s="1"/>
    </row>
    <row r="127" spans="9:10" ht="15.75" customHeight="1">
      <c r="I127" s="1"/>
      <c r="J127" s="1"/>
    </row>
    <row r="128" spans="9:10" ht="15.75" customHeight="1">
      <c r="I128" s="1"/>
      <c r="J128" s="1"/>
    </row>
    <row r="129" spans="9:10" ht="15.75" customHeight="1">
      <c r="I129" s="1"/>
      <c r="J129" s="1"/>
    </row>
    <row r="130" spans="9:10" ht="15.75" customHeight="1">
      <c r="I130" s="1"/>
      <c r="J130" s="1"/>
    </row>
    <row r="131" spans="9:10" ht="15.75" customHeight="1">
      <c r="I131" s="1"/>
      <c r="J131" s="1"/>
    </row>
    <row r="132" spans="9:10" ht="15.75" customHeight="1">
      <c r="I132" s="1"/>
      <c r="J132" s="1"/>
    </row>
    <row r="133" spans="9:10" ht="15.75" customHeight="1">
      <c r="I133" s="1"/>
      <c r="J133" s="1"/>
    </row>
    <row r="134" spans="9:10" ht="15.75" customHeight="1">
      <c r="I134" s="1"/>
      <c r="J134" s="1"/>
    </row>
    <row r="135" spans="9:10" ht="15.75" customHeight="1">
      <c r="I135" s="1"/>
      <c r="J135" s="1"/>
    </row>
    <row r="136" spans="9:10" ht="15.75" customHeight="1">
      <c r="I136" s="1"/>
      <c r="J136" s="1"/>
    </row>
    <row r="137" spans="9:10" ht="15.75" customHeight="1">
      <c r="I137" s="1"/>
      <c r="J137" s="1"/>
    </row>
    <row r="138" spans="9:10" ht="15.75" customHeight="1">
      <c r="I138" s="1"/>
      <c r="J138" s="1"/>
    </row>
    <row r="139" spans="9:10" ht="15.75" customHeight="1">
      <c r="I139" s="1"/>
      <c r="J139" s="1"/>
    </row>
    <row r="140" spans="9:10" ht="15.75" customHeight="1">
      <c r="I140" s="1"/>
      <c r="J140" s="1"/>
    </row>
    <row r="141" spans="9:10" ht="15.75" customHeight="1">
      <c r="I141" s="1"/>
      <c r="J141" s="1"/>
    </row>
    <row r="142" spans="9:10" ht="15.75" customHeight="1">
      <c r="I142" s="1"/>
      <c r="J142" s="1"/>
    </row>
    <row r="143" spans="9:10" ht="15.75" customHeight="1">
      <c r="I143" s="1"/>
      <c r="J143" s="1"/>
    </row>
    <row r="144" spans="9:10" ht="15.75" customHeight="1">
      <c r="I144" s="1"/>
      <c r="J144" s="1"/>
    </row>
    <row r="145" spans="9:10" ht="15.75" customHeight="1">
      <c r="I145" s="1"/>
      <c r="J145" s="1"/>
    </row>
    <row r="146" spans="9:10" ht="15.75" customHeight="1">
      <c r="I146" s="1"/>
      <c r="J146" s="1"/>
    </row>
    <row r="147" spans="9:10" ht="15.75" customHeight="1">
      <c r="I147" s="1"/>
      <c r="J147" s="1"/>
    </row>
    <row r="148" spans="9:10" ht="15.75" customHeight="1">
      <c r="I148" s="1"/>
      <c r="J148" s="1"/>
    </row>
    <row r="149" spans="9:10" ht="15.75" customHeight="1">
      <c r="I149" s="1"/>
      <c r="J149" s="1"/>
    </row>
    <row r="150" spans="9:10" ht="15.75" customHeight="1">
      <c r="I150" s="1"/>
      <c r="J150" s="1"/>
    </row>
    <row r="151" spans="9:10" ht="15.75" customHeight="1">
      <c r="I151" s="1"/>
      <c r="J151" s="1"/>
    </row>
    <row r="152" spans="9:10" ht="15.75" customHeight="1">
      <c r="I152" s="1"/>
      <c r="J152" s="1"/>
    </row>
    <row r="153" spans="9:10" ht="15.75" customHeight="1">
      <c r="I153" s="1"/>
      <c r="J153" s="1"/>
    </row>
    <row r="154" spans="9:10" ht="15.75" customHeight="1">
      <c r="I154" s="1"/>
      <c r="J154" s="1"/>
    </row>
    <row r="155" spans="9:10" ht="15.75" customHeight="1">
      <c r="I155" s="1"/>
      <c r="J155" s="1"/>
    </row>
    <row r="156" spans="9:10" ht="15.75" customHeight="1">
      <c r="I156" s="1"/>
      <c r="J156" s="1"/>
    </row>
    <row r="157" spans="9:10" ht="15.75" customHeight="1">
      <c r="I157" s="1"/>
      <c r="J157" s="1"/>
    </row>
    <row r="158" spans="9:10" ht="15.75" customHeight="1">
      <c r="I158" s="1"/>
      <c r="J158" s="1"/>
    </row>
    <row r="159" spans="9:10" ht="15.75" customHeight="1">
      <c r="I159" s="1"/>
      <c r="J159" s="1"/>
    </row>
    <row r="160" spans="9:10" ht="15.75" customHeight="1">
      <c r="I160" s="1"/>
      <c r="J160" s="1"/>
    </row>
    <row r="161" spans="9:10" ht="15.75" customHeight="1">
      <c r="I161" s="1"/>
      <c r="J161" s="1"/>
    </row>
    <row r="162" spans="9:10" ht="15.75" customHeight="1">
      <c r="I162" s="1"/>
      <c r="J162" s="1"/>
    </row>
    <row r="163" spans="9:10" ht="15.75" customHeight="1">
      <c r="I163" s="1"/>
      <c r="J163" s="1"/>
    </row>
    <row r="164" spans="9:10" ht="15.75" customHeight="1">
      <c r="I164" s="1"/>
      <c r="J164" s="1"/>
    </row>
    <row r="165" spans="9:10" ht="15.75" customHeight="1">
      <c r="I165" s="1"/>
      <c r="J165" s="1"/>
    </row>
    <row r="166" spans="9:10" ht="15.75" customHeight="1">
      <c r="I166" s="1"/>
      <c r="J166" s="1"/>
    </row>
    <row r="167" spans="9:10" ht="15.75" customHeight="1">
      <c r="I167" s="1"/>
      <c r="J167" s="1"/>
    </row>
    <row r="168" spans="9:10" ht="15.75" customHeight="1">
      <c r="I168" s="1"/>
      <c r="J168" s="1"/>
    </row>
    <row r="169" spans="9:10" ht="15.75" customHeight="1">
      <c r="I169" s="1"/>
      <c r="J169" s="1"/>
    </row>
    <row r="170" spans="9:10" ht="15.75" customHeight="1">
      <c r="I170" s="1"/>
      <c r="J170" s="1"/>
    </row>
    <row r="171" spans="9:10" ht="15.75" customHeight="1">
      <c r="I171" s="1"/>
      <c r="J171" s="1"/>
    </row>
    <row r="172" spans="9:10" ht="15.75" customHeight="1">
      <c r="I172" s="1"/>
      <c r="J172" s="1"/>
    </row>
    <row r="173" spans="9:10" ht="15.75" customHeight="1">
      <c r="I173" s="1"/>
      <c r="J173" s="1"/>
    </row>
    <row r="174" spans="9:10" ht="15.75" customHeight="1">
      <c r="I174" s="1"/>
      <c r="J174" s="1"/>
    </row>
    <row r="175" spans="9:10" ht="15.75" customHeight="1">
      <c r="I175" s="1"/>
      <c r="J175" s="1"/>
    </row>
    <row r="176" spans="9:10" ht="15.75" customHeight="1">
      <c r="I176" s="1"/>
      <c r="J176" s="1"/>
    </row>
    <row r="177" spans="9:10" ht="15.75" customHeight="1">
      <c r="I177" s="1"/>
      <c r="J177" s="1"/>
    </row>
    <row r="178" spans="9:10" ht="15.75" customHeight="1">
      <c r="I178" s="1"/>
      <c r="J178" s="1"/>
    </row>
    <row r="179" spans="9:10" ht="15.75" customHeight="1">
      <c r="I179" s="1"/>
      <c r="J179" s="1"/>
    </row>
    <row r="180" spans="9:10" ht="15.75" customHeight="1">
      <c r="I180" s="1"/>
      <c r="J180" s="1"/>
    </row>
    <row r="181" spans="9:10" ht="15.75" customHeight="1">
      <c r="I181" s="1"/>
      <c r="J181" s="1"/>
    </row>
    <row r="182" spans="9:10" ht="15.75" customHeight="1">
      <c r="I182" s="1"/>
      <c r="J182" s="1"/>
    </row>
    <row r="183" spans="9:10" ht="15.75" customHeight="1">
      <c r="I183" s="1"/>
      <c r="J183" s="1"/>
    </row>
    <row r="184" spans="9:10" ht="15.75" customHeight="1">
      <c r="I184" s="1"/>
      <c r="J184" s="1"/>
    </row>
    <row r="185" spans="9:10" ht="15.75" customHeight="1">
      <c r="I185" s="1"/>
      <c r="J185" s="1"/>
    </row>
    <row r="186" spans="9:10" ht="15.75" customHeight="1">
      <c r="I186" s="1"/>
      <c r="J186" s="1"/>
    </row>
    <row r="187" spans="9:10" ht="15.75" customHeight="1">
      <c r="I187" s="1"/>
      <c r="J187" s="1"/>
    </row>
    <row r="188" spans="9:10" ht="15.75" customHeight="1">
      <c r="I188" s="1"/>
      <c r="J188" s="1"/>
    </row>
    <row r="189" spans="9:10" ht="15.75" customHeight="1">
      <c r="I189" s="1"/>
      <c r="J189" s="1"/>
    </row>
    <row r="190" spans="9:10" ht="15.75" customHeight="1">
      <c r="I190" s="1"/>
      <c r="J190" s="1"/>
    </row>
    <row r="191" spans="9:10" ht="15.75" customHeight="1">
      <c r="I191" s="1"/>
      <c r="J191" s="1"/>
    </row>
    <row r="192" spans="9:10" ht="15.75" customHeight="1">
      <c r="I192" s="1"/>
      <c r="J192" s="1"/>
    </row>
    <row r="193" spans="9:10" ht="15.75" customHeight="1">
      <c r="I193" s="1"/>
      <c r="J193" s="1"/>
    </row>
    <row r="194" spans="9:10" ht="15.75" customHeight="1">
      <c r="I194" s="1"/>
      <c r="J194" s="1"/>
    </row>
    <row r="195" spans="9:10" ht="15.75" customHeight="1">
      <c r="I195" s="1"/>
      <c r="J195" s="1"/>
    </row>
    <row r="196" spans="9:10" ht="15.75" customHeight="1">
      <c r="I196" s="1"/>
      <c r="J196" s="1"/>
    </row>
    <row r="197" spans="9:10" ht="15.75" customHeight="1">
      <c r="I197" s="1"/>
      <c r="J197" s="1"/>
    </row>
    <row r="198" spans="9:10" ht="15.75" customHeight="1">
      <c r="I198" s="1"/>
      <c r="J198" s="1"/>
    </row>
    <row r="199" spans="9:10" ht="15.75" customHeight="1">
      <c r="I199" s="1"/>
      <c r="J199" s="1"/>
    </row>
    <row r="200" spans="9:10" ht="15.75" customHeight="1">
      <c r="I200" s="1"/>
      <c r="J200" s="1"/>
    </row>
    <row r="201" spans="9:10" ht="15.75" customHeight="1">
      <c r="I201" s="1"/>
      <c r="J201" s="1"/>
    </row>
    <row r="202" spans="9:10" ht="15.75" customHeight="1">
      <c r="I202" s="1"/>
      <c r="J202" s="1"/>
    </row>
    <row r="203" spans="9:10" ht="15.75" customHeight="1">
      <c r="I203" s="1"/>
      <c r="J203" s="1"/>
    </row>
    <row r="204" spans="9:10" ht="15.75" customHeight="1">
      <c r="I204" s="1"/>
      <c r="J204" s="1"/>
    </row>
    <row r="205" spans="9:10" ht="15.75" customHeight="1">
      <c r="I205" s="1"/>
      <c r="J205" s="1"/>
    </row>
    <row r="206" spans="9:10" ht="15.75" customHeight="1">
      <c r="I206" s="1"/>
      <c r="J206" s="1"/>
    </row>
    <row r="207" spans="9:10" ht="15.75" customHeight="1">
      <c r="I207" s="1"/>
      <c r="J207" s="1"/>
    </row>
    <row r="208" spans="9:10" ht="15.75" customHeight="1">
      <c r="I208" s="1"/>
      <c r="J208" s="1"/>
    </row>
    <row r="209" spans="9:10" ht="15.75" customHeight="1">
      <c r="I209" s="1"/>
      <c r="J209" s="1"/>
    </row>
    <row r="210" spans="9:10" ht="15.75" customHeight="1">
      <c r="I210" s="1"/>
      <c r="J210" s="1"/>
    </row>
    <row r="211" spans="9:10" ht="15.75" customHeight="1">
      <c r="I211" s="1"/>
      <c r="J211" s="1"/>
    </row>
    <row r="212" spans="9:10" ht="15.75" customHeight="1">
      <c r="I212" s="1"/>
      <c r="J212" s="1"/>
    </row>
    <row r="213" spans="9:10" ht="15.75" customHeight="1">
      <c r="I213" s="1"/>
      <c r="J213" s="1"/>
    </row>
    <row r="214" spans="9:10" ht="15.75" customHeight="1">
      <c r="I214" s="1"/>
      <c r="J214" s="1"/>
    </row>
    <row r="215" spans="9:10" ht="15.75" customHeight="1">
      <c r="I215" s="1"/>
      <c r="J215" s="1"/>
    </row>
    <row r="216" spans="9:10" ht="15.75" customHeight="1">
      <c r="I216" s="1"/>
      <c r="J216" s="1"/>
    </row>
    <row r="217" spans="9:10" ht="15.75" customHeight="1">
      <c r="I217" s="1"/>
      <c r="J217" s="1"/>
    </row>
    <row r="218" spans="9:10" ht="15.75" customHeight="1">
      <c r="I218" s="1"/>
      <c r="J218" s="1"/>
    </row>
    <row r="219" spans="9:10" ht="15.75" customHeight="1">
      <c r="I219" s="1"/>
      <c r="J219" s="1"/>
    </row>
    <row r="220" spans="9:10" ht="15.75" customHeight="1">
      <c r="I220" s="1"/>
      <c r="J220" s="1"/>
    </row>
    <row r="221" spans="9:10" ht="15.75" customHeight="1">
      <c r="I221" s="1"/>
      <c r="J221" s="1"/>
    </row>
    <row r="222" spans="9:10" ht="15.75" customHeight="1">
      <c r="I222" s="1"/>
      <c r="J222" s="1"/>
    </row>
    <row r="223" spans="9:10" ht="15.75" customHeight="1">
      <c r="I223" s="1"/>
      <c r="J223" s="1"/>
    </row>
    <row r="224" spans="9:10" ht="15.75" customHeight="1">
      <c r="I224" s="1"/>
      <c r="J224" s="1"/>
    </row>
    <row r="225" spans="9:10" ht="15.75" customHeight="1">
      <c r="I225" s="1"/>
      <c r="J225" s="1"/>
    </row>
    <row r="226" spans="9:10" ht="15.75" customHeight="1">
      <c r="I226" s="1"/>
      <c r="J226" s="1"/>
    </row>
    <row r="227" spans="9:10" ht="15.75" customHeight="1">
      <c r="I227" s="1"/>
      <c r="J227" s="1"/>
    </row>
    <row r="228" spans="9:10" ht="15.75" customHeight="1">
      <c r="I228" s="1"/>
      <c r="J228" s="1"/>
    </row>
    <row r="229" spans="9:10" ht="15.75" customHeight="1">
      <c r="I229" s="1"/>
      <c r="J229" s="1"/>
    </row>
    <row r="230" spans="9:10" ht="15.75" customHeight="1">
      <c r="I230" s="1"/>
      <c r="J230" s="1"/>
    </row>
    <row r="231" spans="9:10" ht="15.75" customHeight="1">
      <c r="I231" s="1"/>
      <c r="J231" s="1"/>
    </row>
    <row r="232" spans="9:10" ht="15.75" customHeight="1">
      <c r="I232" s="1"/>
      <c r="J232" s="1"/>
    </row>
    <row r="233" spans="9:10" ht="15.75" customHeight="1">
      <c r="I233" s="1"/>
      <c r="J233" s="1"/>
    </row>
    <row r="234" spans="9:10" ht="15.75" customHeight="1">
      <c r="I234" s="1"/>
      <c r="J234" s="1"/>
    </row>
    <row r="235" spans="9:10" ht="15.75" customHeight="1">
      <c r="I235" s="1"/>
      <c r="J235" s="1"/>
    </row>
    <row r="236" spans="9:10" ht="15.75" customHeight="1">
      <c r="I236" s="1"/>
      <c r="J236" s="1"/>
    </row>
    <row r="237" spans="9:10" ht="15.75" customHeight="1">
      <c r="I237" s="1"/>
      <c r="J237" s="1"/>
    </row>
    <row r="238" spans="9:10" ht="15.75" customHeight="1">
      <c r="I238" s="1"/>
      <c r="J238" s="1"/>
    </row>
    <row r="239" spans="9:10" ht="15.75" customHeight="1">
      <c r="I239" s="1"/>
      <c r="J239" s="1"/>
    </row>
    <row r="240" spans="9:10" ht="15.75" customHeight="1">
      <c r="I240" s="1"/>
      <c r="J240" s="1"/>
    </row>
    <row r="241" spans="9:10" ht="15.75" customHeight="1">
      <c r="I241" s="1"/>
      <c r="J241" s="1"/>
    </row>
    <row r="242" spans="9:10" ht="15.75" customHeight="1">
      <c r="I242" s="1"/>
      <c r="J242" s="1"/>
    </row>
    <row r="243" spans="9:10" ht="15.75" customHeight="1">
      <c r="I243" s="1"/>
      <c r="J243" s="1"/>
    </row>
    <row r="244" spans="9:10" ht="15.75" customHeight="1">
      <c r="I244" s="1"/>
      <c r="J244" s="1"/>
    </row>
    <row r="245" spans="9:10" ht="15.75" customHeight="1">
      <c r="I245" s="1"/>
      <c r="J245" s="1"/>
    </row>
    <row r="246" spans="9:10" ht="15.75" customHeight="1">
      <c r="I246" s="1"/>
      <c r="J246" s="1"/>
    </row>
    <row r="247" spans="9:10" ht="15.75" customHeight="1">
      <c r="I247" s="1"/>
      <c r="J247" s="1"/>
    </row>
    <row r="248" spans="9:10" ht="15.75" customHeight="1">
      <c r="I248" s="1"/>
      <c r="J248" s="1"/>
    </row>
    <row r="249" spans="9:10" ht="15.75" customHeight="1">
      <c r="I249" s="1"/>
      <c r="J249" s="1"/>
    </row>
    <row r="250" spans="9:10" ht="15.75" customHeight="1">
      <c r="I250" s="1"/>
      <c r="J250" s="1"/>
    </row>
    <row r="251" spans="9:10" ht="15.75" customHeight="1">
      <c r="I251" s="1"/>
      <c r="J251" s="1"/>
    </row>
    <row r="252" spans="9:10" ht="15.75" customHeight="1">
      <c r="I252" s="1"/>
      <c r="J252" s="1"/>
    </row>
    <row r="253" spans="9:10" ht="15.75" customHeight="1">
      <c r="I253" s="1"/>
      <c r="J253" s="1"/>
    </row>
    <row r="254" spans="9:10" ht="15.75" customHeight="1">
      <c r="I254" s="1"/>
      <c r="J254" s="1"/>
    </row>
    <row r="255" spans="9:10" ht="15.75" customHeight="1">
      <c r="I255" s="1"/>
      <c r="J255" s="1"/>
    </row>
    <row r="256" spans="9:10" ht="15.75" customHeight="1">
      <c r="I256" s="1"/>
      <c r="J256" s="1"/>
    </row>
    <row r="257" spans="9:10" ht="15.75" customHeight="1">
      <c r="I257" s="1"/>
      <c r="J257" s="1"/>
    </row>
    <row r="258" spans="9:10" ht="15.75" customHeight="1">
      <c r="I258" s="1"/>
      <c r="J258" s="1"/>
    </row>
    <row r="259" spans="9:10" ht="15.75" customHeight="1">
      <c r="I259" s="1"/>
      <c r="J259" s="1"/>
    </row>
    <row r="260" spans="9:10" ht="15.75" customHeight="1">
      <c r="I260" s="1"/>
      <c r="J260" s="1"/>
    </row>
    <row r="261" spans="9:10" ht="15.75" customHeight="1">
      <c r="I261" s="1"/>
      <c r="J261" s="1"/>
    </row>
    <row r="262" spans="9:10" ht="15.75" customHeight="1">
      <c r="I262" s="1"/>
      <c r="J262" s="1"/>
    </row>
    <row r="263" spans="9:10" ht="15.75" customHeight="1">
      <c r="I263" s="1"/>
      <c r="J263" s="1"/>
    </row>
    <row r="264" spans="9:10" ht="15.75" customHeight="1">
      <c r="I264" s="1"/>
      <c r="J264" s="1"/>
    </row>
    <row r="265" spans="9:10" ht="15.75" customHeight="1">
      <c r="I265" s="1"/>
      <c r="J265" s="1"/>
    </row>
    <row r="266" spans="9:10" ht="15.75" customHeight="1">
      <c r="I266" s="1"/>
      <c r="J266" s="1"/>
    </row>
    <row r="267" spans="9:10" ht="15.75" customHeight="1">
      <c r="I267" s="1"/>
      <c r="J267" s="1"/>
    </row>
    <row r="268" spans="9:10" ht="15.75" customHeight="1">
      <c r="I268" s="1"/>
      <c r="J268" s="1"/>
    </row>
    <row r="269" spans="9:10" ht="15.75" customHeight="1">
      <c r="I269" s="1"/>
      <c r="J269" s="1"/>
    </row>
    <row r="270" spans="9:10" ht="15.75" customHeight="1">
      <c r="I270" s="1"/>
      <c r="J270" s="1"/>
    </row>
    <row r="271" spans="9:10" ht="15.75" customHeight="1">
      <c r="I271" s="1"/>
      <c r="J271" s="1"/>
    </row>
    <row r="272" spans="9:10" ht="15.75" customHeight="1">
      <c r="I272" s="1"/>
      <c r="J272" s="1"/>
    </row>
    <row r="273" spans="9:10" ht="15.75" customHeight="1">
      <c r="I273" s="1"/>
      <c r="J273" s="1"/>
    </row>
    <row r="274" spans="9:10" ht="15.75" customHeight="1">
      <c r="I274" s="1"/>
      <c r="J274" s="1"/>
    </row>
    <row r="275" spans="9:10" ht="15.75" customHeight="1">
      <c r="I275" s="1"/>
      <c r="J275" s="1"/>
    </row>
    <row r="276" spans="9:10" ht="15.75" customHeight="1">
      <c r="I276" s="1"/>
      <c r="J276" s="1"/>
    </row>
    <row r="277" spans="9:10" ht="15.75" customHeight="1">
      <c r="I277" s="1"/>
      <c r="J277" s="1"/>
    </row>
    <row r="278" spans="9:10" ht="15.75" customHeight="1">
      <c r="I278" s="1"/>
      <c r="J278" s="1"/>
    </row>
    <row r="279" spans="9:10" ht="15.75" customHeight="1">
      <c r="I279" s="1"/>
      <c r="J279" s="1"/>
    </row>
    <row r="280" spans="9:10" ht="15.75" customHeight="1">
      <c r="I280" s="1"/>
      <c r="J280" s="1"/>
    </row>
    <row r="281" spans="9:10" ht="15.75" customHeight="1">
      <c r="I281" s="1"/>
      <c r="J281" s="1"/>
    </row>
    <row r="282" spans="9:10" ht="15.75" customHeight="1">
      <c r="I282" s="1"/>
      <c r="J282" s="1"/>
    </row>
    <row r="283" spans="9:10" ht="15.75" customHeight="1">
      <c r="I283" s="1"/>
      <c r="J283" s="1"/>
    </row>
    <row r="284" spans="9:10" ht="15.75" customHeight="1">
      <c r="I284" s="1"/>
      <c r="J284" s="1"/>
    </row>
    <row r="285" spans="9:10" ht="15.75" customHeight="1">
      <c r="I285" s="1"/>
      <c r="J285" s="1"/>
    </row>
    <row r="286" spans="9:10" ht="15.75" customHeight="1">
      <c r="I286" s="1"/>
      <c r="J286" s="1"/>
    </row>
    <row r="287" spans="9:10" ht="15.75" customHeight="1">
      <c r="I287" s="1"/>
      <c r="J287" s="1"/>
    </row>
    <row r="288" spans="9:10" ht="15.75" customHeight="1">
      <c r="I288" s="1"/>
      <c r="J288" s="1"/>
    </row>
    <row r="289" spans="9:10" ht="15.75" customHeight="1">
      <c r="I289" s="1"/>
      <c r="J289" s="1"/>
    </row>
    <row r="290" spans="9:10" ht="15.75" customHeight="1">
      <c r="I290" s="1"/>
      <c r="J290" s="1"/>
    </row>
    <row r="291" spans="9:10" ht="15.75" customHeight="1">
      <c r="I291" s="1"/>
      <c r="J291" s="1"/>
    </row>
    <row r="292" spans="9:10" ht="15.75" customHeight="1">
      <c r="I292" s="1"/>
      <c r="J292" s="1"/>
    </row>
    <row r="293" spans="9:10" ht="15.75" customHeight="1">
      <c r="I293" s="1"/>
      <c r="J293" s="1"/>
    </row>
    <row r="294" spans="9:10" ht="15.75" customHeight="1">
      <c r="I294" s="1"/>
      <c r="J294" s="1"/>
    </row>
    <row r="295" spans="9:10" ht="15.75" customHeight="1">
      <c r="I295" s="1"/>
      <c r="J295" s="1"/>
    </row>
    <row r="296" spans="9:10" ht="15.75" customHeight="1">
      <c r="I296" s="1"/>
      <c r="J296" s="1"/>
    </row>
    <row r="297" spans="9:10" ht="15.75" customHeight="1">
      <c r="I297" s="1"/>
      <c r="J297" s="1"/>
    </row>
    <row r="298" spans="9:10" ht="15.75" customHeight="1">
      <c r="I298" s="1"/>
      <c r="J298" s="1"/>
    </row>
    <row r="299" spans="9:10" ht="15.75" customHeight="1">
      <c r="I299" s="1"/>
      <c r="J299" s="1"/>
    </row>
    <row r="300" spans="9:10" ht="15.75" customHeight="1">
      <c r="I300" s="1"/>
      <c r="J300" s="1"/>
    </row>
    <row r="301" spans="9:10" ht="15.75" customHeight="1">
      <c r="I301" s="1"/>
      <c r="J301" s="1"/>
    </row>
    <row r="302" spans="9:10" ht="15.75" customHeight="1">
      <c r="I302" s="1"/>
      <c r="J302" s="1"/>
    </row>
    <row r="303" spans="9:10" ht="15.75" customHeight="1">
      <c r="I303" s="1"/>
      <c r="J303" s="1"/>
    </row>
    <row r="304" spans="9:10" ht="15.75" customHeight="1">
      <c r="I304" s="1"/>
      <c r="J304" s="1"/>
    </row>
    <row r="305" spans="9:10" ht="15.75" customHeight="1">
      <c r="I305" s="1"/>
      <c r="J305" s="1"/>
    </row>
    <row r="306" spans="9:10" ht="15.75" customHeight="1">
      <c r="I306" s="1"/>
      <c r="J306" s="1"/>
    </row>
    <row r="307" spans="9:10" ht="15.75" customHeight="1">
      <c r="I307" s="1"/>
      <c r="J307" s="1"/>
    </row>
    <row r="308" spans="9:10" ht="15.75" customHeight="1">
      <c r="I308" s="1"/>
      <c r="J308" s="1"/>
    </row>
    <row r="309" spans="9:10" ht="15.75" customHeight="1">
      <c r="I309" s="1"/>
      <c r="J309" s="1"/>
    </row>
    <row r="310" spans="9:10" ht="15.75" customHeight="1">
      <c r="I310" s="1"/>
      <c r="J310" s="1"/>
    </row>
    <row r="311" spans="9:10" ht="15.75" customHeight="1">
      <c r="I311" s="1"/>
      <c r="J311" s="1"/>
    </row>
    <row r="312" spans="9:10" ht="15.75" customHeight="1">
      <c r="I312" s="1"/>
      <c r="J312" s="1"/>
    </row>
    <row r="313" spans="9:10" ht="15.75" customHeight="1">
      <c r="I313" s="1"/>
      <c r="J313" s="1"/>
    </row>
    <row r="314" spans="9:10" ht="15.75" customHeight="1">
      <c r="I314" s="1"/>
      <c r="J314" s="1"/>
    </row>
    <row r="315" spans="9:10" ht="15.75" customHeight="1">
      <c r="I315" s="1"/>
      <c r="J315" s="1"/>
    </row>
    <row r="316" spans="9:10" ht="15.75" customHeight="1">
      <c r="I316" s="1"/>
      <c r="J316" s="1"/>
    </row>
    <row r="317" spans="9:10" ht="15.75" customHeight="1">
      <c r="I317" s="1"/>
      <c r="J317" s="1"/>
    </row>
    <row r="318" spans="9:10" ht="15.75" customHeight="1">
      <c r="I318" s="1"/>
      <c r="J318" s="1"/>
    </row>
    <row r="319" spans="9:10" ht="15.75" customHeight="1">
      <c r="I319" s="1"/>
      <c r="J319" s="1"/>
    </row>
    <row r="320" spans="9:10" ht="15.75" customHeight="1">
      <c r="I320" s="1"/>
      <c r="J320" s="1"/>
    </row>
    <row r="321" spans="9:10" ht="15.75" customHeight="1">
      <c r="I321" s="1"/>
      <c r="J321" s="1"/>
    </row>
    <row r="322" spans="9:10" ht="15.75" customHeight="1">
      <c r="I322" s="1"/>
      <c r="J322" s="1"/>
    </row>
    <row r="323" spans="9:10" ht="15.75" customHeight="1">
      <c r="I323" s="1"/>
      <c r="J323" s="1"/>
    </row>
    <row r="324" spans="9:10" ht="15.75" customHeight="1">
      <c r="I324" s="1"/>
      <c r="J324" s="1"/>
    </row>
    <row r="325" spans="9:10" ht="15.75" customHeight="1">
      <c r="I325" s="1"/>
      <c r="J325" s="1"/>
    </row>
    <row r="326" spans="9:10" ht="15.75" customHeight="1">
      <c r="I326" s="1"/>
      <c r="J326" s="1"/>
    </row>
    <row r="327" spans="9:10" ht="15.75" customHeight="1">
      <c r="I327" s="1"/>
      <c r="J327" s="1"/>
    </row>
    <row r="328" spans="9:10" ht="15.75" customHeight="1">
      <c r="I328" s="1"/>
      <c r="J328" s="1"/>
    </row>
    <row r="329" spans="9:10" ht="15.75" customHeight="1">
      <c r="I329" s="1"/>
      <c r="J329" s="1"/>
    </row>
    <row r="330" spans="9:10" ht="15.75" customHeight="1">
      <c r="I330" s="1"/>
      <c r="J330" s="1"/>
    </row>
    <row r="331" spans="9:10" ht="15.75" customHeight="1">
      <c r="I331" s="1"/>
      <c r="J331" s="1"/>
    </row>
    <row r="332" spans="9:10" ht="15.75" customHeight="1">
      <c r="I332" s="1"/>
      <c r="J332" s="1"/>
    </row>
    <row r="333" spans="9:10" ht="15.75" customHeight="1">
      <c r="I333" s="1"/>
      <c r="J333" s="1"/>
    </row>
    <row r="334" spans="9:10" ht="15.75" customHeight="1">
      <c r="I334" s="1"/>
      <c r="J334" s="1"/>
    </row>
    <row r="335" spans="9:10" ht="15.75" customHeight="1">
      <c r="I335" s="1"/>
      <c r="J335" s="1"/>
    </row>
    <row r="336" spans="9:10" ht="15.75" customHeight="1">
      <c r="I336" s="1"/>
      <c r="J336" s="1"/>
    </row>
    <row r="337" spans="9:10" ht="15.75" customHeight="1">
      <c r="I337" s="1"/>
      <c r="J337" s="1"/>
    </row>
    <row r="338" spans="9:10" ht="15.75" customHeight="1">
      <c r="I338" s="1"/>
      <c r="J338" s="1"/>
    </row>
    <row r="339" spans="9:10" ht="15.75" customHeight="1">
      <c r="I339" s="1"/>
      <c r="J339" s="1"/>
    </row>
    <row r="340" spans="9:10" ht="15.75" customHeight="1">
      <c r="I340" s="1"/>
      <c r="J340" s="1"/>
    </row>
    <row r="341" spans="9:10" ht="15.75" customHeight="1">
      <c r="I341" s="1"/>
      <c r="J341" s="1"/>
    </row>
    <row r="342" spans="9:10" ht="15.75" customHeight="1">
      <c r="I342" s="1"/>
      <c r="J342" s="1"/>
    </row>
    <row r="343" spans="9:10" ht="15.75" customHeight="1">
      <c r="I343" s="1"/>
      <c r="J343" s="1"/>
    </row>
    <row r="344" spans="9:10" ht="15.75" customHeight="1">
      <c r="I344" s="1"/>
      <c r="J344" s="1"/>
    </row>
    <row r="345" spans="9:10" ht="15.75" customHeight="1">
      <c r="I345" s="1"/>
      <c r="J345" s="1"/>
    </row>
    <row r="346" spans="9:10" ht="15.75" customHeight="1">
      <c r="I346" s="1"/>
      <c r="J346" s="1"/>
    </row>
    <row r="347" spans="9:10" ht="15.75" customHeight="1">
      <c r="I347" s="1"/>
      <c r="J347" s="1"/>
    </row>
    <row r="348" spans="9:10" ht="15.75" customHeight="1">
      <c r="I348" s="1"/>
      <c r="J348" s="1"/>
    </row>
    <row r="349" spans="9:10" ht="15.75" customHeight="1">
      <c r="I349" s="1"/>
      <c r="J349" s="1"/>
    </row>
    <row r="350" spans="9:10" ht="15.75" customHeight="1">
      <c r="I350" s="1"/>
      <c r="J350" s="1"/>
    </row>
    <row r="351" spans="9:10" ht="15.75" customHeight="1">
      <c r="I351" s="1"/>
      <c r="J351" s="1"/>
    </row>
    <row r="352" spans="9:10" ht="15.75" customHeight="1">
      <c r="I352" s="1"/>
      <c r="J352" s="1"/>
    </row>
    <row r="353" spans="9:10" ht="15.75" customHeight="1">
      <c r="I353" s="1"/>
      <c r="J353" s="1"/>
    </row>
    <row r="354" spans="9:10" ht="15.75" customHeight="1">
      <c r="I354" s="1"/>
      <c r="J354" s="1"/>
    </row>
    <row r="355" spans="9:10" ht="15.75" customHeight="1">
      <c r="I355" s="1"/>
      <c r="J355" s="1"/>
    </row>
    <row r="356" spans="9:10" ht="15.75" customHeight="1">
      <c r="I356" s="1"/>
      <c r="J356" s="1"/>
    </row>
    <row r="357" spans="9:10" ht="15.75" customHeight="1">
      <c r="I357" s="1"/>
      <c r="J357" s="1"/>
    </row>
    <row r="358" spans="9:10" ht="15.75" customHeight="1">
      <c r="I358" s="1"/>
      <c r="J358" s="1"/>
    </row>
    <row r="359" spans="9:10" ht="15.75" customHeight="1">
      <c r="I359" s="1"/>
      <c r="J359" s="1"/>
    </row>
    <row r="360" spans="9:10" ht="15.75" customHeight="1">
      <c r="I360" s="1"/>
      <c r="J360" s="1"/>
    </row>
    <row r="361" spans="9:10" ht="15.75" customHeight="1">
      <c r="I361" s="1"/>
      <c r="J361" s="1"/>
    </row>
    <row r="362" spans="9:10" ht="15.75" customHeight="1">
      <c r="I362" s="1"/>
      <c r="J362" s="1"/>
    </row>
    <row r="363" spans="9:10" ht="15.75" customHeight="1">
      <c r="I363" s="1"/>
      <c r="J363" s="1"/>
    </row>
    <row r="364" spans="9:10" ht="15.75" customHeight="1">
      <c r="I364" s="1"/>
      <c r="J364" s="1"/>
    </row>
    <row r="365" spans="9:10" ht="15.75" customHeight="1">
      <c r="I365" s="1"/>
      <c r="J365" s="1"/>
    </row>
    <row r="366" spans="9:10" ht="15.75" customHeight="1">
      <c r="I366" s="1"/>
      <c r="J366" s="1"/>
    </row>
    <row r="367" spans="9:10" ht="15.75" customHeight="1">
      <c r="I367" s="1"/>
      <c r="J367" s="1"/>
    </row>
    <row r="368" spans="9:10" ht="15.75" customHeight="1">
      <c r="I368" s="1"/>
      <c r="J368" s="1"/>
    </row>
    <row r="369" spans="9:10" ht="15.75" customHeight="1">
      <c r="I369" s="1"/>
      <c r="J369" s="1"/>
    </row>
    <row r="370" spans="9:10" ht="15.75" customHeight="1">
      <c r="I370" s="1"/>
      <c r="J370" s="1"/>
    </row>
    <row r="371" spans="9:10" ht="15.75" customHeight="1">
      <c r="I371" s="1"/>
      <c r="J371" s="1"/>
    </row>
    <row r="372" spans="9:10" ht="15.75" customHeight="1">
      <c r="I372" s="1"/>
      <c r="J372" s="1"/>
    </row>
    <row r="373" spans="9:10" ht="15.75" customHeight="1">
      <c r="I373" s="1"/>
      <c r="J373" s="1"/>
    </row>
    <row r="374" spans="9:10" ht="15.75" customHeight="1">
      <c r="I374" s="1"/>
      <c r="J374" s="1"/>
    </row>
    <row r="375" spans="9:10" ht="15.75" customHeight="1">
      <c r="I375" s="1"/>
      <c r="J375" s="1"/>
    </row>
    <row r="376" spans="9:10" ht="15.75" customHeight="1">
      <c r="I376" s="1"/>
      <c r="J376" s="1"/>
    </row>
    <row r="377" spans="9:10" ht="15.75" customHeight="1">
      <c r="I377" s="1"/>
      <c r="J377" s="1"/>
    </row>
    <row r="378" spans="9:10" ht="15.75" customHeight="1">
      <c r="I378" s="1"/>
      <c r="J378" s="1"/>
    </row>
    <row r="379" spans="9:10" ht="15.75" customHeight="1">
      <c r="I379" s="1"/>
      <c r="J379" s="1"/>
    </row>
    <row r="380" spans="9:10" ht="15.75" customHeight="1">
      <c r="I380" s="1"/>
      <c r="J380" s="1"/>
    </row>
    <row r="381" spans="9:10" ht="15.75" customHeight="1">
      <c r="I381" s="1"/>
      <c r="J381" s="1"/>
    </row>
    <row r="382" spans="9:10" ht="15.75" customHeight="1">
      <c r="I382" s="1"/>
      <c r="J382" s="1"/>
    </row>
    <row r="383" spans="9:10" ht="15.75" customHeight="1">
      <c r="I383" s="1"/>
      <c r="J383" s="1"/>
    </row>
    <row r="384" spans="9:10" ht="15.75" customHeight="1">
      <c r="I384" s="1"/>
      <c r="J384" s="1"/>
    </row>
    <row r="385" spans="9:10" ht="15.75" customHeight="1">
      <c r="I385" s="1"/>
      <c r="J385" s="1"/>
    </row>
    <row r="386" spans="9:10" ht="15.75" customHeight="1">
      <c r="I386" s="1"/>
      <c r="J386" s="1"/>
    </row>
    <row r="387" spans="9:10" ht="15.75" customHeight="1">
      <c r="I387" s="1"/>
      <c r="J387" s="1"/>
    </row>
    <row r="388" spans="9:10" ht="15.75" customHeight="1">
      <c r="I388" s="1"/>
      <c r="J388" s="1"/>
    </row>
    <row r="389" spans="9:10" ht="15.75" customHeight="1">
      <c r="I389" s="1"/>
      <c r="J389" s="1"/>
    </row>
    <row r="390" spans="9:10" ht="15.75" customHeight="1">
      <c r="I390" s="1"/>
      <c r="J390" s="1"/>
    </row>
    <row r="391" spans="9:10" ht="15.75" customHeight="1">
      <c r="I391" s="1"/>
      <c r="J391" s="1"/>
    </row>
    <row r="392" spans="9:10" ht="15.75" customHeight="1">
      <c r="I392" s="1"/>
      <c r="J392" s="1"/>
    </row>
    <row r="393" spans="9:10" ht="15.75" customHeight="1">
      <c r="I393" s="1"/>
      <c r="J393" s="1"/>
    </row>
    <row r="394" spans="9:10" ht="15.75" customHeight="1">
      <c r="I394" s="1"/>
      <c r="J394" s="1"/>
    </row>
    <row r="395" spans="9:10" ht="15.75" customHeight="1">
      <c r="I395" s="1"/>
      <c r="J395" s="1"/>
    </row>
    <row r="396" spans="9:10" ht="15.75" customHeight="1">
      <c r="I396" s="1"/>
      <c r="J396" s="1"/>
    </row>
    <row r="397" spans="9:10" ht="15.75" customHeight="1">
      <c r="I397" s="1"/>
      <c r="J397" s="1"/>
    </row>
    <row r="398" spans="9:10" ht="15.75" customHeight="1">
      <c r="I398" s="1"/>
      <c r="J398" s="1"/>
    </row>
    <row r="399" spans="9:10" ht="15.75" customHeight="1">
      <c r="I399" s="1"/>
      <c r="J399" s="1"/>
    </row>
    <row r="400" spans="9:10" ht="15.75" customHeight="1">
      <c r="I400" s="1"/>
      <c r="J400" s="1"/>
    </row>
    <row r="401" spans="9:10" ht="15.75" customHeight="1">
      <c r="I401" s="1"/>
      <c r="J401" s="1"/>
    </row>
    <row r="402" spans="9:10" ht="15.75" customHeight="1">
      <c r="I402" s="1"/>
      <c r="J402" s="1"/>
    </row>
    <row r="403" spans="9:10" ht="15.75" customHeight="1">
      <c r="I403" s="1"/>
      <c r="J403" s="1"/>
    </row>
    <row r="404" spans="9:10" ht="15.75" customHeight="1">
      <c r="I404" s="1"/>
      <c r="J404" s="1"/>
    </row>
    <row r="405" spans="9:10" ht="15.75" customHeight="1">
      <c r="I405" s="1"/>
      <c r="J405" s="1"/>
    </row>
    <row r="406" spans="9:10" ht="15.75" customHeight="1">
      <c r="I406" s="1"/>
      <c r="J406" s="1"/>
    </row>
    <row r="407" spans="9:10" ht="15.75" customHeight="1">
      <c r="I407" s="1"/>
      <c r="J407" s="1"/>
    </row>
    <row r="408" spans="9:10" ht="15.75" customHeight="1">
      <c r="I408" s="1"/>
      <c r="J408" s="1"/>
    </row>
    <row r="409" spans="9:10" ht="15.75" customHeight="1">
      <c r="I409" s="1"/>
      <c r="J409" s="1"/>
    </row>
    <row r="410" spans="9:10" ht="15.75" customHeight="1">
      <c r="I410" s="1"/>
      <c r="J410" s="1"/>
    </row>
    <row r="411" spans="9:10" ht="15.75" customHeight="1">
      <c r="I411" s="1"/>
      <c r="J411" s="1"/>
    </row>
    <row r="412" spans="9:10" ht="15.75" customHeight="1">
      <c r="I412" s="1"/>
      <c r="J412" s="1"/>
    </row>
    <row r="413" spans="9:10" ht="15.75" customHeight="1">
      <c r="I413" s="1"/>
      <c r="J413" s="1"/>
    </row>
    <row r="414" spans="9:10" ht="15.75" customHeight="1">
      <c r="I414" s="1"/>
      <c r="J414" s="1"/>
    </row>
    <row r="415" spans="9:10" ht="15.75" customHeight="1">
      <c r="I415" s="1"/>
      <c r="J415" s="1"/>
    </row>
    <row r="416" spans="9:10" ht="15.75" customHeight="1">
      <c r="I416" s="1"/>
      <c r="J416" s="1"/>
    </row>
    <row r="417" spans="9:10" ht="15.75" customHeight="1">
      <c r="I417" s="1"/>
      <c r="J417" s="1"/>
    </row>
    <row r="418" spans="9:10" ht="15.75" customHeight="1">
      <c r="I418" s="1"/>
      <c r="J418" s="1"/>
    </row>
    <row r="419" spans="9:10" ht="15.75" customHeight="1">
      <c r="I419" s="1"/>
      <c r="J419" s="1"/>
    </row>
    <row r="420" spans="9:10" ht="15.75" customHeight="1">
      <c r="I420" s="1"/>
      <c r="J420" s="1"/>
    </row>
    <row r="421" spans="9:10" ht="15.75" customHeight="1">
      <c r="I421" s="1"/>
      <c r="J421" s="1"/>
    </row>
    <row r="422" spans="9:10" ht="15.75" customHeight="1">
      <c r="I422" s="1"/>
      <c r="J422" s="1"/>
    </row>
    <row r="423" spans="9:10" ht="15.75" customHeight="1">
      <c r="I423" s="1"/>
      <c r="J423" s="1"/>
    </row>
    <row r="424" spans="9:10" ht="15.75" customHeight="1">
      <c r="I424" s="1"/>
      <c r="J424" s="1"/>
    </row>
    <row r="425" spans="9:10" ht="15.75" customHeight="1">
      <c r="I425" s="1"/>
      <c r="J425" s="1"/>
    </row>
    <row r="426" spans="9:10" ht="15.75" customHeight="1">
      <c r="I426" s="1"/>
      <c r="J426" s="1"/>
    </row>
    <row r="427" spans="9:10" ht="15.75" customHeight="1">
      <c r="I427" s="1"/>
      <c r="J427" s="1"/>
    </row>
    <row r="428" spans="9:10" ht="15.75" customHeight="1">
      <c r="I428" s="1"/>
      <c r="J428" s="1"/>
    </row>
    <row r="429" spans="9:10" ht="15.75" customHeight="1">
      <c r="I429" s="1"/>
      <c r="J429" s="1"/>
    </row>
    <row r="430" spans="9:10" ht="15.75" customHeight="1">
      <c r="I430" s="1"/>
      <c r="J430" s="1"/>
    </row>
    <row r="431" spans="9:10" ht="15.75" customHeight="1">
      <c r="I431" s="1"/>
      <c r="J431" s="1"/>
    </row>
    <row r="432" spans="9:10" ht="15.75" customHeight="1">
      <c r="I432" s="1"/>
      <c r="J432" s="1"/>
    </row>
    <row r="433" spans="9:10" ht="15.75" customHeight="1">
      <c r="I433" s="1"/>
      <c r="J433" s="1"/>
    </row>
    <row r="434" spans="9:10" ht="15.75" customHeight="1">
      <c r="I434" s="1"/>
      <c r="J434" s="1"/>
    </row>
    <row r="435" spans="9:10" ht="15.75" customHeight="1">
      <c r="I435" s="1"/>
      <c r="J435" s="1"/>
    </row>
    <row r="436" spans="9:10" ht="15.75" customHeight="1">
      <c r="I436" s="1"/>
      <c r="J436" s="1"/>
    </row>
    <row r="437" spans="9:10" ht="15.75" customHeight="1">
      <c r="I437" s="1"/>
      <c r="J437" s="1"/>
    </row>
    <row r="438" spans="9:10" ht="15.75" customHeight="1">
      <c r="I438" s="1"/>
      <c r="J438" s="1"/>
    </row>
    <row r="439" spans="9:10" ht="15.75" customHeight="1">
      <c r="I439" s="1"/>
      <c r="J439" s="1"/>
    </row>
    <row r="440" spans="9:10" ht="15.75" customHeight="1">
      <c r="I440" s="1"/>
      <c r="J440" s="1"/>
    </row>
    <row r="441" spans="9:10" ht="15.75" customHeight="1">
      <c r="I441" s="1"/>
      <c r="J441" s="1"/>
    </row>
    <row r="442" spans="9:10" ht="15.75" customHeight="1">
      <c r="I442" s="1"/>
      <c r="J442" s="1"/>
    </row>
    <row r="443" spans="9:10" ht="15.75" customHeight="1">
      <c r="I443" s="1"/>
      <c r="J443" s="1"/>
    </row>
    <row r="444" spans="9:10" ht="15.75" customHeight="1">
      <c r="I444" s="1"/>
      <c r="J444" s="1"/>
    </row>
    <row r="445" spans="9:10" ht="15.75" customHeight="1">
      <c r="I445" s="1"/>
      <c r="J445" s="1"/>
    </row>
    <row r="446" spans="9:10" ht="15.75" customHeight="1">
      <c r="I446" s="1"/>
      <c r="J446" s="1"/>
    </row>
    <row r="447" spans="9:10" ht="15.75" customHeight="1">
      <c r="I447" s="1"/>
      <c r="J447" s="1"/>
    </row>
    <row r="448" spans="9:10" ht="15.75" customHeight="1">
      <c r="I448" s="1"/>
      <c r="J448" s="1"/>
    </row>
    <row r="449" spans="9:10" ht="15.75" customHeight="1">
      <c r="I449" s="1"/>
      <c r="J449" s="1"/>
    </row>
    <row r="450" spans="9:10" ht="15.75" customHeight="1">
      <c r="I450" s="1"/>
      <c r="J450" s="1"/>
    </row>
    <row r="451" spans="9:10" ht="15.75" customHeight="1">
      <c r="I451" s="1"/>
      <c r="J451" s="1"/>
    </row>
    <row r="452" spans="9:10" ht="15.75" customHeight="1">
      <c r="I452" s="1"/>
      <c r="J452" s="1"/>
    </row>
    <row r="453" spans="9:10" ht="15.75" customHeight="1">
      <c r="I453" s="1"/>
      <c r="J453" s="1"/>
    </row>
    <row r="454" spans="9:10" ht="15.75" customHeight="1">
      <c r="I454" s="1"/>
      <c r="J454" s="1"/>
    </row>
    <row r="455" spans="9:10" ht="15.75" customHeight="1">
      <c r="I455" s="1"/>
      <c r="J455" s="1"/>
    </row>
    <row r="456" spans="9:10" ht="15.75" customHeight="1">
      <c r="I456" s="1"/>
      <c r="J456" s="1"/>
    </row>
    <row r="457" spans="9:10" ht="15.75" customHeight="1">
      <c r="I457" s="1"/>
      <c r="J457" s="1"/>
    </row>
    <row r="458" spans="9:10" ht="15.75" customHeight="1">
      <c r="I458" s="1"/>
      <c r="J458" s="1"/>
    </row>
    <row r="459" spans="9:10" ht="15.75" customHeight="1">
      <c r="I459" s="1"/>
      <c r="J459" s="1"/>
    </row>
    <row r="460" spans="9:10" ht="15.75" customHeight="1">
      <c r="I460" s="1"/>
      <c r="J460" s="1"/>
    </row>
    <row r="461" spans="9:10" ht="15.75" customHeight="1">
      <c r="I461" s="1"/>
      <c r="J461" s="1"/>
    </row>
    <row r="462" spans="9:10" ht="15.75" customHeight="1">
      <c r="I462" s="1"/>
      <c r="J462" s="1"/>
    </row>
    <row r="463" spans="9:10" ht="15.75" customHeight="1">
      <c r="I463" s="1"/>
      <c r="J463" s="1"/>
    </row>
    <row r="464" spans="9:10" ht="15.75" customHeight="1">
      <c r="I464" s="1"/>
      <c r="J464" s="1"/>
    </row>
    <row r="465" spans="9:10" ht="15.75" customHeight="1">
      <c r="I465" s="1"/>
      <c r="J465" s="1"/>
    </row>
    <row r="466" spans="9:10" ht="15.75" customHeight="1">
      <c r="I466" s="1"/>
      <c r="J466" s="1"/>
    </row>
    <row r="467" spans="9:10" ht="15.75" customHeight="1">
      <c r="I467" s="1"/>
      <c r="J467" s="1"/>
    </row>
    <row r="468" spans="9:10" ht="15.75" customHeight="1">
      <c r="I468" s="1"/>
      <c r="J468" s="1"/>
    </row>
    <row r="469" spans="9:10" ht="15.75" customHeight="1">
      <c r="I469" s="1"/>
      <c r="J469" s="1"/>
    </row>
    <row r="470" spans="9:10" ht="15.75" customHeight="1">
      <c r="I470" s="1"/>
      <c r="J470" s="1"/>
    </row>
    <row r="471" spans="9:10" ht="15.75" customHeight="1">
      <c r="I471" s="1"/>
      <c r="J471" s="1"/>
    </row>
    <row r="472" spans="9:10" ht="15.75" customHeight="1">
      <c r="I472" s="1"/>
      <c r="J472" s="1"/>
    </row>
    <row r="473" spans="9:10" ht="15.75" customHeight="1">
      <c r="I473" s="1"/>
      <c r="J473" s="1"/>
    </row>
    <row r="474" spans="9:10" ht="15.75" customHeight="1">
      <c r="I474" s="1"/>
      <c r="J474" s="1"/>
    </row>
    <row r="475" spans="9:10" ht="15.75" customHeight="1">
      <c r="I475" s="1"/>
      <c r="J475" s="1"/>
    </row>
    <row r="476" spans="9:10" ht="15.75" customHeight="1">
      <c r="I476" s="1"/>
      <c r="J476" s="1"/>
    </row>
    <row r="477" spans="9:10" ht="15.75" customHeight="1">
      <c r="I477" s="1"/>
      <c r="J477" s="1"/>
    </row>
    <row r="478" spans="9:10" ht="15.75" customHeight="1">
      <c r="I478" s="1"/>
      <c r="J478" s="1"/>
    </row>
    <row r="479" spans="9:10" ht="15.75" customHeight="1">
      <c r="I479" s="1"/>
      <c r="J479" s="1"/>
    </row>
    <row r="480" spans="9:10" ht="15.75" customHeight="1">
      <c r="I480" s="1"/>
      <c r="J480" s="1"/>
    </row>
    <row r="481" spans="9:10" ht="15.75" customHeight="1">
      <c r="I481" s="1"/>
      <c r="J481" s="1"/>
    </row>
    <row r="482" spans="9:10" ht="15.75" customHeight="1">
      <c r="I482" s="1"/>
      <c r="J482" s="1"/>
    </row>
    <row r="483" spans="9:10" ht="15.75" customHeight="1">
      <c r="I483" s="1"/>
      <c r="J483" s="1"/>
    </row>
    <row r="484" spans="9:10" ht="15.75" customHeight="1">
      <c r="I484" s="1"/>
      <c r="J484" s="1"/>
    </row>
    <row r="485" spans="9:10" ht="15.75" customHeight="1">
      <c r="I485" s="1"/>
      <c r="J485" s="1"/>
    </row>
    <row r="486" spans="9:10" ht="15.75" customHeight="1">
      <c r="I486" s="1"/>
      <c r="J486" s="1"/>
    </row>
    <row r="487" spans="9:10" ht="15.75" customHeight="1">
      <c r="I487" s="1"/>
      <c r="J487" s="1"/>
    </row>
    <row r="488" spans="9:10" ht="15.75" customHeight="1">
      <c r="I488" s="1"/>
      <c r="J488" s="1"/>
    </row>
    <row r="489" spans="9:10" ht="15.75" customHeight="1">
      <c r="I489" s="1"/>
      <c r="J489" s="1"/>
    </row>
    <row r="490" spans="9:10" ht="15.75" customHeight="1">
      <c r="I490" s="1"/>
      <c r="J490" s="1"/>
    </row>
    <row r="491" spans="9:10" ht="15.75" customHeight="1">
      <c r="I491" s="1"/>
      <c r="J491" s="1"/>
    </row>
    <row r="492" spans="9:10" ht="15.75" customHeight="1">
      <c r="I492" s="1"/>
      <c r="J492" s="1"/>
    </row>
    <row r="493" spans="9:10" ht="15.75" customHeight="1">
      <c r="I493" s="1"/>
      <c r="J493" s="1"/>
    </row>
    <row r="494" spans="9:10" ht="15.75" customHeight="1">
      <c r="I494" s="1"/>
      <c r="J494" s="1"/>
    </row>
    <row r="495" spans="9:10" ht="15.75" customHeight="1">
      <c r="I495" s="1"/>
      <c r="J495" s="1"/>
    </row>
    <row r="496" spans="9:10" ht="15.75" customHeight="1">
      <c r="I496" s="1"/>
      <c r="J496" s="1"/>
    </row>
    <row r="497" spans="9:10" ht="15.75" customHeight="1">
      <c r="I497" s="1"/>
      <c r="J497" s="1"/>
    </row>
    <row r="498" spans="9:10" ht="15.75" customHeight="1">
      <c r="I498" s="1"/>
      <c r="J498" s="1"/>
    </row>
    <row r="499" spans="9:10" ht="15.75" customHeight="1">
      <c r="I499" s="1"/>
      <c r="J499" s="1"/>
    </row>
    <row r="500" spans="9:10" ht="15.75" customHeight="1">
      <c r="I500" s="1"/>
      <c r="J500" s="1"/>
    </row>
    <row r="501" spans="9:10" ht="15.75" customHeight="1">
      <c r="I501" s="1"/>
      <c r="J501" s="1"/>
    </row>
    <row r="502" spans="9:10" ht="15.75" customHeight="1">
      <c r="I502" s="1"/>
      <c r="J502" s="1"/>
    </row>
    <row r="503" spans="9:10" ht="15.75" customHeight="1">
      <c r="I503" s="1"/>
      <c r="J503" s="1"/>
    </row>
    <row r="504" spans="9:10" ht="15.75" customHeight="1">
      <c r="I504" s="1"/>
      <c r="J504" s="1"/>
    </row>
    <row r="505" spans="9:10" ht="15.75" customHeight="1">
      <c r="I505" s="1"/>
      <c r="J505" s="1"/>
    </row>
    <row r="506" spans="9:10" ht="15.75" customHeight="1">
      <c r="I506" s="1"/>
      <c r="J506" s="1"/>
    </row>
    <row r="507" spans="9:10" ht="15.75" customHeight="1">
      <c r="I507" s="1"/>
      <c r="J507" s="1"/>
    </row>
    <row r="508" spans="9:10" ht="15.75" customHeight="1">
      <c r="I508" s="1"/>
      <c r="J508" s="1"/>
    </row>
    <row r="509" spans="9:10" ht="15.75" customHeight="1">
      <c r="I509" s="1"/>
      <c r="J509" s="1"/>
    </row>
    <row r="510" spans="9:10" ht="15.75" customHeight="1">
      <c r="I510" s="1"/>
      <c r="J510" s="1"/>
    </row>
    <row r="511" spans="9:10" ht="15.75" customHeight="1">
      <c r="I511" s="1"/>
      <c r="J511" s="1"/>
    </row>
    <row r="512" spans="9:10" ht="15.75" customHeight="1">
      <c r="I512" s="1"/>
      <c r="J512" s="1"/>
    </row>
    <row r="513" spans="9:10" ht="15.75" customHeight="1">
      <c r="I513" s="1"/>
      <c r="J513" s="1"/>
    </row>
    <row r="514" spans="9:10" ht="15.75" customHeight="1">
      <c r="I514" s="1"/>
      <c r="J514" s="1"/>
    </row>
    <row r="515" spans="9:10" ht="15.75" customHeight="1">
      <c r="I515" s="1"/>
      <c r="J515" s="1"/>
    </row>
    <row r="516" spans="9:10" ht="15.75" customHeight="1">
      <c r="I516" s="1"/>
      <c r="J516" s="1"/>
    </row>
    <row r="517" spans="9:10" ht="15.75" customHeight="1">
      <c r="I517" s="1"/>
      <c r="J517" s="1"/>
    </row>
    <row r="518" spans="9:10" ht="15.75" customHeight="1">
      <c r="I518" s="1"/>
      <c r="J518" s="1"/>
    </row>
    <row r="519" spans="9:10" ht="15.75" customHeight="1">
      <c r="I519" s="1"/>
      <c r="J519" s="1"/>
    </row>
    <row r="520" spans="9:10" ht="15.75" customHeight="1">
      <c r="I520" s="1"/>
      <c r="J520" s="1"/>
    </row>
    <row r="521" spans="9:10" ht="15.75" customHeight="1">
      <c r="I521" s="1"/>
      <c r="J521" s="1"/>
    </row>
    <row r="522" spans="9:10" ht="15.75" customHeight="1">
      <c r="I522" s="1"/>
      <c r="J522" s="1"/>
    </row>
    <row r="523" spans="9:10" ht="15.75" customHeight="1">
      <c r="I523" s="1"/>
      <c r="J523" s="1"/>
    </row>
    <row r="524" spans="9:10" ht="15.75" customHeight="1">
      <c r="I524" s="1"/>
      <c r="J524" s="1"/>
    </row>
    <row r="525" spans="9:10" ht="15.75" customHeight="1">
      <c r="I525" s="1"/>
      <c r="J525" s="1"/>
    </row>
    <row r="526" spans="9:10" ht="15.75" customHeight="1">
      <c r="I526" s="1"/>
      <c r="J526" s="1"/>
    </row>
    <row r="527" spans="9:10" ht="15.75" customHeight="1">
      <c r="I527" s="1"/>
      <c r="J527" s="1"/>
    </row>
    <row r="528" spans="9:10" ht="15.75" customHeight="1">
      <c r="I528" s="1"/>
      <c r="J528" s="1"/>
    </row>
    <row r="529" spans="9:10" ht="15.75" customHeight="1">
      <c r="I529" s="1"/>
      <c r="J529" s="1"/>
    </row>
    <row r="530" spans="9:10" ht="15.75" customHeight="1">
      <c r="I530" s="1"/>
      <c r="J530" s="1"/>
    </row>
    <row r="531" spans="9:10" ht="15.75" customHeight="1">
      <c r="I531" s="1"/>
      <c r="J531" s="1"/>
    </row>
    <row r="532" spans="9:10" ht="15.75" customHeight="1">
      <c r="I532" s="1"/>
      <c r="J532" s="1"/>
    </row>
    <row r="533" spans="9:10" ht="15.75" customHeight="1">
      <c r="I533" s="1"/>
      <c r="J533" s="1"/>
    </row>
    <row r="534" spans="9:10" ht="15.75" customHeight="1">
      <c r="I534" s="1"/>
      <c r="J534" s="1"/>
    </row>
    <row r="535" spans="9:10" ht="15.75" customHeight="1">
      <c r="I535" s="1"/>
      <c r="J535" s="1"/>
    </row>
    <row r="536" spans="9:10" ht="15.75" customHeight="1">
      <c r="I536" s="1"/>
      <c r="J536" s="1"/>
    </row>
    <row r="537" spans="9:10" ht="15.75" customHeight="1">
      <c r="I537" s="1"/>
      <c r="J537" s="1"/>
    </row>
    <row r="538" spans="9:10" ht="15.75" customHeight="1">
      <c r="I538" s="1"/>
      <c r="J538" s="1"/>
    </row>
    <row r="539" spans="9:10" ht="15.75" customHeight="1">
      <c r="I539" s="1"/>
      <c r="J539" s="1"/>
    </row>
    <row r="540" spans="9:10" ht="15.75" customHeight="1">
      <c r="I540" s="1"/>
      <c r="J540" s="1"/>
    </row>
    <row r="541" spans="9:10" ht="15.75" customHeight="1">
      <c r="I541" s="1"/>
      <c r="J541" s="1"/>
    </row>
    <row r="542" spans="9:10" ht="15.75" customHeight="1">
      <c r="I542" s="1"/>
      <c r="J542" s="1"/>
    </row>
    <row r="543" spans="9:10" ht="15.75" customHeight="1">
      <c r="I543" s="1"/>
      <c r="J543" s="1"/>
    </row>
    <row r="544" spans="9:10" ht="15.75" customHeight="1">
      <c r="I544" s="1"/>
      <c r="J544" s="1"/>
    </row>
    <row r="545" spans="9:10" ht="15.75" customHeight="1">
      <c r="I545" s="1"/>
      <c r="J545" s="1"/>
    </row>
    <row r="546" spans="9:10" ht="15.75" customHeight="1">
      <c r="I546" s="1"/>
      <c r="J546" s="1"/>
    </row>
    <row r="547" spans="9:10" ht="15.75" customHeight="1">
      <c r="I547" s="1"/>
      <c r="J547" s="1"/>
    </row>
    <row r="548" spans="9:10" ht="15.75" customHeight="1">
      <c r="I548" s="1"/>
      <c r="J548" s="1"/>
    </row>
    <row r="549" spans="9:10" ht="15.75" customHeight="1">
      <c r="I549" s="1"/>
      <c r="J549" s="1"/>
    </row>
    <row r="550" spans="9:10" ht="15.75" customHeight="1">
      <c r="I550" s="1"/>
      <c r="J550" s="1"/>
    </row>
    <row r="551" spans="9:10" ht="15.75" customHeight="1">
      <c r="I551" s="1"/>
      <c r="J551" s="1"/>
    </row>
    <row r="552" spans="9:10" ht="15.75" customHeight="1">
      <c r="I552" s="1"/>
      <c r="J552" s="1"/>
    </row>
    <row r="553" spans="9:10" ht="15.75" customHeight="1">
      <c r="I553" s="1"/>
      <c r="J553" s="1"/>
    </row>
    <row r="554" spans="9:10" ht="15.75" customHeight="1">
      <c r="I554" s="1"/>
      <c r="J554" s="1"/>
    </row>
    <row r="555" spans="9:10" ht="15.75" customHeight="1">
      <c r="I555" s="1"/>
      <c r="J555" s="1"/>
    </row>
    <row r="556" spans="9:10" ht="15.75" customHeight="1">
      <c r="I556" s="1"/>
      <c r="J556" s="1"/>
    </row>
    <row r="557" spans="9:10" ht="15.75" customHeight="1">
      <c r="I557" s="1"/>
      <c r="J557" s="1"/>
    </row>
    <row r="558" spans="9:10" ht="15.75" customHeight="1">
      <c r="I558" s="1"/>
      <c r="J558" s="1"/>
    </row>
    <row r="559" spans="9:10" ht="15.75" customHeight="1">
      <c r="I559" s="1"/>
      <c r="J559" s="1"/>
    </row>
    <row r="560" spans="9:10" ht="15.75" customHeight="1">
      <c r="I560" s="1"/>
      <c r="J560" s="1"/>
    </row>
    <row r="561" spans="9:10" ht="15.75" customHeight="1">
      <c r="I561" s="1"/>
      <c r="J561" s="1"/>
    </row>
    <row r="562" spans="9:10" ht="15.75" customHeight="1">
      <c r="I562" s="1"/>
      <c r="J562" s="1"/>
    </row>
    <row r="563" spans="9:10" ht="15.75" customHeight="1">
      <c r="I563" s="1"/>
      <c r="J563" s="1"/>
    </row>
    <row r="564" spans="9:10" ht="15.75" customHeight="1">
      <c r="I564" s="1"/>
      <c r="J564" s="1"/>
    </row>
    <row r="565" spans="9:10" ht="15.75" customHeight="1">
      <c r="I565" s="1"/>
      <c r="J565" s="1"/>
    </row>
    <row r="566" spans="9:10" ht="15.75" customHeight="1">
      <c r="I566" s="1"/>
      <c r="J566" s="1"/>
    </row>
    <row r="567" spans="9:10" ht="15.75" customHeight="1">
      <c r="I567" s="1"/>
      <c r="J567" s="1"/>
    </row>
    <row r="568" spans="9:10" ht="15.75" customHeight="1">
      <c r="I568" s="1"/>
      <c r="J568" s="1"/>
    </row>
    <row r="569" spans="9:10" ht="15.75" customHeight="1">
      <c r="I569" s="1"/>
      <c r="J569" s="1"/>
    </row>
    <row r="570" spans="9:10" ht="15.75" customHeight="1">
      <c r="I570" s="1"/>
      <c r="J570" s="1"/>
    </row>
    <row r="571" spans="9:10" ht="15.75" customHeight="1">
      <c r="I571" s="1"/>
      <c r="J571" s="1"/>
    </row>
    <row r="572" spans="9:10" ht="15.75" customHeight="1">
      <c r="I572" s="1"/>
      <c r="J572" s="1"/>
    </row>
    <row r="573" spans="9:10" ht="15.75" customHeight="1">
      <c r="I573" s="1"/>
      <c r="J573" s="1"/>
    </row>
    <row r="574" spans="9:10" ht="15.75" customHeight="1">
      <c r="I574" s="1"/>
      <c r="J574" s="1"/>
    </row>
    <row r="575" spans="9:10" ht="15.75" customHeight="1">
      <c r="I575" s="1"/>
      <c r="J575" s="1"/>
    </row>
    <row r="576" spans="9:10" ht="15.75" customHeight="1">
      <c r="I576" s="1"/>
      <c r="J576" s="1"/>
    </row>
    <row r="577" spans="9:10" ht="15.75" customHeight="1">
      <c r="I577" s="1"/>
      <c r="J577" s="1"/>
    </row>
    <row r="578" spans="9:10" ht="15.75" customHeight="1">
      <c r="I578" s="1"/>
      <c r="J578" s="1"/>
    </row>
    <row r="579" spans="9:10" ht="15.75" customHeight="1">
      <c r="I579" s="1"/>
      <c r="J579" s="1"/>
    </row>
    <row r="580" spans="9:10" ht="15.75" customHeight="1">
      <c r="I580" s="1"/>
      <c r="J580" s="1"/>
    </row>
    <row r="581" spans="9:10" ht="15.75" customHeight="1">
      <c r="I581" s="1"/>
      <c r="J581" s="1"/>
    </row>
    <row r="582" spans="9:10" ht="15.75" customHeight="1">
      <c r="I582" s="1"/>
      <c r="J582" s="1"/>
    </row>
    <row r="583" spans="9:10" ht="15.75" customHeight="1">
      <c r="I583" s="1"/>
      <c r="J583" s="1"/>
    </row>
    <row r="584" spans="9:10" ht="15.75" customHeight="1">
      <c r="I584" s="1"/>
      <c r="J584" s="1"/>
    </row>
    <row r="585" spans="9:10" ht="15.75" customHeight="1">
      <c r="I585" s="1"/>
      <c r="J585" s="1"/>
    </row>
    <row r="586" spans="9:10" ht="15.75" customHeight="1">
      <c r="I586" s="1"/>
      <c r="J586" s="1"/>
    </row>
    <row r="587" spans="9:10" ht="15.75" customHeight="1">
      <c r="I587" s="1"/>
      <c r="J587" s="1"/>
    </row>
    <row r="588" spans="9:10" ht="15.75" customHeight="1">
      <c r="I588" s="1"/>
      <c r="J588" s="1"/>
    </row>
    <row r="589" spans="9:10" ht="15.75" customHeight="1">
      <c r="I589" s="1"/>
      <c r="J589" s="1"/>
    </row>
    <row r="590" spans="9:10" ht="15.75" customHeight="1">
      <c r="I590" s="1"/>
      <c r="J590" s="1"/>
    </row>
    <row r="591" spans="9:10" ht="15.75" customHeight="1">
      <c r="I591" s="1"/>
      <c r="J591" s="1"/>
    </row>
    <row r="592" spans="9:10" ht="15.75" customHeight="1">
      <c r="I592" s="1"/>
      <c r="J592" s="1"/>
    </row>
    <row r="593" spans="9:10" ht="15.75" customHeight="1">
      <c r="I593" s="1"/>
      <c r="J593" s="1"/>
    </row>
    <row r="594" spans="9:10" ht="15.75" customHeight="1">
      <c r="I594" s="1"/>
      <c r="J594" s="1"/>
    </row>
    <row r="595" spans="9:10" ht="15.75" customHeight="1">
      <c r="I595" s="1"/>
      <c r="J595" s="1"/>
    </row>
    <row r="596" spans="9:10" ht="15.75" customHeight="1">
      <c r="I596" s="1"/>
      <c r="J596" s="1"/>
    </row>
    <row r="597" spans="9:10" ht="15.75" customHeight="1">
      <c r="I597" s="1"/>
      <c r="J597" s="1"/>
    </row>
    <row r="598" spans="9:10" ht="15.75" customHeight="1">
      <c r="I598" s="1"/>
      <c r="J598" s="1"/>
    </row>
    <row r="599" spans="9:10" ht="15.75" customHeight="1">
      <c r="I599" s="1"/>
      <c r="J599" s="1"/>
    </row>
    <row r="600" spans="9:10" ht="15.75" customHeight="1">
      <c r="I600" s="1"/>
      <c r="J600" s="1"/>
    </row>
    <row r="601" spans="9:10" ht="15.75" customHeight="1">
      <c r="I601" s="1"/>
      <c r="J601" s="1"/>
    </row>
    <row r="602" spans="9:10" ht="15.75" customHeight="1">
      <c r="I602" s="1"/>
      <c r="J602" s="1"/>
    </row>
    <row r="603" spans="9:10" ht="15.75" customHeight="1">
      <c r="I603" s="1"/>
      <c r="J603" s="1"/>
    </row>
    <row r="604" spans="9:10" ht="15.75" customHeight="1">
      <c r="I604" s="1"/>
      <c r="J604" s="1"/>
    </row>
    <row r="605" spans="9:10" ht="15.75" customHeight="1">
      <c r="I605" s="1"/>
      <c r="J605" s="1"/>
    </row>
    <row r="606" spans="9:10" ht="15.75" customHeight="1">
      <c r="I606" s="1"/>
      <c r="J606" s="1"/>
    </row>
    <row r="607" spans="9:10" ht="15.75" customHeight="1">
      <c r="I607" s="1"/>
      <c r="J607" s="1"/>
    </row>
    <row r="608" spans="9:10" ht="15.75" customHeight="1">
      <c r="I608" s="1"/>
      <c r="J608" s="1"/>
    </row>
    <row r="609" spans="9:10" ht="15.75" customHeight="1">
      <c r="I609" s="1"/>
      <c r="J609" s="1"/>
    </row>
    <row r="610" spans="9:10" ht="15.75" customHeight="1">
      <c r="I610" s="1"/>
      <c r="J610" s="1"/>
    </row>
    <row r="611" spans="9:10" ht="15.75" customHeight="1">
      <c r="I611" s="1"/>
      <c r="J611" s="1"/>
    </row>
    <row r="612" spans="9:10" ht="15.75" customHeight="1">
      <c r="I612" s="1"/>
      <c r="J612" s="1"/>
    </row>
    <row r="613" spans="9:10" ht="15.75" customHeight="1">
      <c r="I613" s="1"/>
      <c r="J613" s="1"/>
    </row>
    <row r="614" spans="9:10" ht="15.75" customHeight="1">
      <c r="I614" s="1"/>
      <c r="J614" s="1"/>
    </row>
    <row r="615" spans="9:10" ht="15.75" customHeight="1">
      <c r="I615" s="1"/>
      <c r="J615" s="1"/>
    </row>
    <row r="616" spans="9:10" ht="15.75" customHeight="1">
      <c r="I616" s="1"/>
      <c r="J616" s="1"/>
    </row>
    <row r="617" spans="9:10" ht="15.75" customHeight="1">
      <c r="I617" s="1"/>
      <c r="J617" s="1"/>
    </row>
    <row r="618" spans="9:10" ht="15.75" customHeight="1">
      <c r="I618" s="1"/>
      <c r="J618" s="1"/>
    </row>
    <row r="619" spans="9:10" ht="15.75" customHeight="1">
      <c r="I619" s="1"/>
      <c r="J619" s="1"/>
    </row>
    <row r="620" spans="9:10" ht="15.75" customHeight="1">
      <c r="I620" s="1"/>
      <c r="J620" s="1"/>
    </row>
    <row r="621" spans="9:10" ht="15.75" customHeight="1">
      <c r="I621" s="1"/>
      <c r="J621" s="1"/>
    </row>
    <row r="622" spans="9:10" ht="15.75" customHeight="1">
      <c r="I622" s="1"/>
      <c r="J622" s="1"/>
    </row>
    <row r="623" spans="9:10" ht="15.75" customHeight="1">
      <c r="I623" s="1"/>
      <c r="J623" s="1"/>
    </row>
    <row r="624" spans="9:10" ht="15.75" customHeight="1">
      <c r="I624" s="1"/>
      <c r="J624" s="1"/>
    </row>
    <row r="625" spans="9:10" ht="15.75" customHeight="1">
      <c r="I625" s="1"/>
      <c r="J625" s="1"/>
    </row>
    <row r="626" spans="9:10" ht="15.75" customHeight="1">
      <c r="I626" s="1"/>
      <c r="J626" s="1"/>
    </row>
    <row r="627" spans="9:10" ht="15.75" customHeight="1">
      <c r="I627" s="1"/>
      <c r="J627" s="1"/>
    </row>
    <row r="628" spans="9:10" ht="15.75" customHeight="1">
      <c r="I628" s="1"/>
      <c r="J628" s="1"/>
    </row>
    <row r="629" spans="9:10" ht="15.75" customHeight="1">
      <c r="I629" s="1"/>
      <c r="J629" s="1"/>
    </row>
    <row r="630" spans="9:10" ht="15.75" customHeight="1">
      <c r="I630" s="1"/>
      <c r="J630" s="1"/>
    </row>
    <row r="631" spans="9:10" ht="15.75" customHeight="1">
      <c r="I631" s="1"/>
      <c r="J631" s="1"/>
    </row>
    <row r="632" spans="9:10" ht="15.75" customHeight="1">
      <c r="I632" s="1"/>
      <c r="J632" s="1"/>
    </row>
    <row r="633" spans="9:10" ht="15.75" customHeight="1">
      <c r="I633" s="1"/>
      <c r="J633" s="1"/>
    </row>
    <row r="634" spans="9:10" ht="15.75" customHeight="1">
      <c r="I634" s="1"/>
      <c r="J634" s="1"/>
    </row>
    <row r="635" spans="9:10" ht="15.75" customHeight="1">
      <c r="I635" s="1"/>
      <c r="J635" s="1"/>
    </row>
    <row r="636" spans="9:10" ht="15.75" customHeight="1">
      <c r="I636" s="1"/>
      <c r="J636" s="1"/>
    </row>
    <row r="637" spans="9:10" ht="15.75" customHeight="1">
      <c r="I637" s="1"/>
      <c r="J637" s="1"/>
    </row>
    <row r="638" spans="9:10" ht="15.75" customHeight="1">
      <c r="I638" s="1"/>
      <c r="J638" s="1"/>
    </row>
    <row r="639" spans="9:10" ht="15.75" customHeight="1">
      <c r="I639" s="1"/>
      <c r="J639" s="1"/>
    </row>
    <row r="640" spans="9:10" ht="15.75" customHeight="1">
      <c r="I640" s="1"/>
      <c r="J640" s="1"/>
    </row>
    <row r="641" spans="9:10" ht="15.75" customHeight="1">
      <c r="I641" s="1"/>
      <c r="J641" s="1"/>
    </row>
    <row r="642" spans="9:10" ht="15.75" customHeight="1">
      <c r="I642" s="1"/>
      <c r="J642" s="1"/>
    </row>
    <row r="643" spans="9:10" ht="15.75" customHeight="1">
      <c r="I643" s="1"/>
      <c r="J643" s="1"/>
    </row>
    <row r="644" spans="9:10" ht="15.75" customHeight="1">
      <c r="I644" s="1"/>
      <c r="J644" s="1"/>
    </row>
    <row r="645" spans="9:10" ht="15.75" customHeight="1">
      <c r="I645" s="1"/>
      <c r="J645" s="1"/>
    </row>
    <row r="646" spans="9:10" ht="15.75" customHeight="1">
      <c r="I646" s="1"/>
      <c r="J646" s="1"/>
    </row>
    <row r="647" spans="9:10" ht="15.75" customHeight="1">
      <c r="I647" s="1"/>
      <c r="J647" s="1"/>
    </row>
    <row r="648" spans="9:10" ht="15.75" customHeight="1">
      <c r="I648" s="1"/>
      <c r="J648" s="1"/>
    </row>
    <row r="649" spans="9:10" ht="15.75" customHeight="1">
      <c r="I649" s="1"/>
      <c r="J649" s="1"/>
    </row>
    <row r="650" spans="9:10" ht="15.75" customHeight="1">
      <c r="I650" s="1"/>
      <c r="J650" s="1"/>
    </row>
    <row r="651" spans="9:10" ht="15.75" customHeight="1">
      <c r="I651" s="1"/>
      <c r="J651" s="1"/>
    </row>
    <row r="652" spans="9:10" ht="15.75" customHeight="1">
      <c r="I652" s="1"/>
      <c r="J652" s="1"/>
    </row>
    <row r="653" spans="9:10" ht="15.75" customHeight="1">
      <c r="I653" s="1"/>
      <c r="J653" s="1"/>
    </row>
    <row r="654" spans="9:10" ht="15.75" customHeight="1">
      <c r="I654" s="1"/>
      <c r="J654" s="1"/>
    </row>
    <row r="655" spans="9:10" ht="15.75" customHeight="1">
      <c r="I655" s="1"/>
      <c r="J655" s="1"/>
    </row>
    <row r="656" spans="9:10" ht="15.75" customHeight="1">
      <c r="I656" s="1"/>
      <c r="J656" s="1"/>
    </row>
    <row r="657" spans="9:10" ht="15.75" customHeight="1">
      <c r="I657" s="1"/>
      <c r="J657" s="1"/>
    </row>
    <row r="658" spans="9:10" ht="15.75" customHeight="1">
      <c r="I658" s="1"/>
      <c r="J658" s="1"/>
    </row>
    <row r="659" spans="9:10" ht="15.75" customHeight="1">
      <c r="I659" s="1"/>
      <c r="J659" s="1"/>
    </row>
    <row r="660" spans="9:10" ht="15.75" customHeight="1">
      <c r="I660" s="1"/>
      <c r="J660" s="1"/>
    </row>
    <row r="661" spans="9:10" ht="15.75" customHeight="1">
      <c r="I661" s="1"/>
      <c r="J661" s="1"/>
    </row>
    <row r="662" spans="9:10" ht="15.75" customHeight="1">
      <c r="I662" s="1"/>
      <c r="J662" s="1"/>
    </row>
    <row r="663" spans="9:10" ht="15.75" customHeight="1">
      <c r="I663" s="1"/>
      <c r="J663" s="1"/>
    </row>
    <row r="664" spans="9:10" ht="15.75" customHeight="1">
      <c r="I664" s="1"/>
      <c r="J664" s="1"/>
    </row>
    <row r="665" spans="9:10" ht="15.75" customHeight="1">
      <c r="I665" s="1"/>
      <c r="J665" s="1"/>
    </row>
    <row r="666" spans="9:10" ht="15.75" customHeight="1">
      <c r="I666" s="1"/>
      <c r="J666" s="1"/>
    </row>
    <row r="667" spans="9:10" ht="15.75" customHeight="1">
      <c r="I667" s="1"/>
      <c r="J667" s="1"/>
    </row>
    <row r="668" spans="9:10" ht="15.75" customHeight="1">
      <c r="I668" s="1"/>
      <c r="J668" s="1"/>
    </row>
    <row r="669" spans="9:10" ht="15.75" customHeight="1">
      <c r="I669" s="1"/>
      <c r="J669" s="1"/>
    </row>
    <row r="670" spans="9:10" ht="15.75" customHeight="1">
      <c r="I670" s="1"/>
      <c r="J670" s="1"/>
    </row>
    <row r="671" spans="9:10" ht="15.75" customHeight="1">
      <c r="I671" s="1"/>
      <c r="J671" s="1"/>
    </row>
    <row r="672" spans="9:10" ht="15.75" customHeight="1">
      <c r="I672" s="1"/>
      <c r="J672" s="1"/>
    </row>
    <row r="673" spans="9:10" ht="15.75" customHeight="1">
      <c r="I673" s="1"/>
      <c r="J673" s="1"/>
    </row>
    <row r="674" spans="9:10" ht="15.75" customHeight="1">
      <c r="I674" s="1"/>
      <c r="J674" s="1"/>
    </row>
    <row r="675" spans="9:10" ht="15.75" customHeight="1">
      <c r="I675" s="1"/>
      <c r="J675" s="1"/>
    </row>
    <row r="676" spans="9:10" ht="15.75" customHeight="1">
      <c r="I676" s="1"/>
      <c r="J676" s="1"/>
    </row>
    <row r="677" spans="9:10" ht="15.75" customHeight="1">
      <c r="I677" s="1"/>
      <c r="J677" s="1"/>
    </row>
    <row r="678" spans="9:10" ht="15.75" customHeight="1">
      <c r="I678" s="1"/>
      <c r="J678" s="1"/>
    </row>
    <row r="679" spans="9:10" ht="15.75" customHeight="1">
      <c r="I679" s="1"/>
      <c r="J679" s="1"/>
    </row>
    <row r="680" spans="9:10" ht="15.75" customHeight="1">
      <c r="I680" s="1"/>
      <c r="J680" s="1"/>
    </row>
    <row r="681" spans="9:10" ht="15.75" customHeight="1">
      <c r="I681" s="1"/>
      <c r="J681" s="1"/>
    </row>
    <row r="682" spans="9:10" ht="15.75" customHeight="1">
      <c r="I682" s="1"/>
      <c r="J682" s="1"/>
    </row>
    <row r="683" spans="9:10" ht="15.75" customHeight="1">
      <c r="I683" s="1"/>
      <c r="J683" s="1"/>
    </row>
    <row r="684" spans="9:10" ht="15.75" customHeight="1">
      <c r="I684" s="1"/>
      <c r="J684" s="1"/>
    </row>
    <row r="685" spans="9:10" ht="15.75" customHeight="1">
      <c r="I685" s="1"/>
      <c r="J685" s="1"/>
    </row>
    <row r="686" spans="9:10" ht="15.75" customHeight="1">
      <c r="I686" s="1"/>
      <c r="J686" s="1"/>
    </row>
    <row r="687" spans="9:10" ht="15.75" customHeight="1">
      <c r="I687" s="1"/>
      <c r="J687" s="1"/>
    </row>
    <row r="688" spans="9:10" ht="15.75" customHeight="1">
      <c r="I688" s="1"/>
      <c r="J688" s="1"/>
    </row>
    <row r="689" spans="9:10" ht="15.75" customHeight="1">
      <c r="I689" s="1"/>
      <c r="J689" s="1"/>
    </row>
    <row r="690" spans="9:10" ht="15.75" customHeight="1">
      <c r="I690" s="1"/>
      <c r="J690" s="1"/>
    </row>
    <row r="691" spans="9:10" ht="15.75" customHeight="1">
      <c r="I691" s="1"/>
      <c r="J691" s="1"/>
    </row>
    <row r="692" spans="9:10" ht="15.75" customHeight="1">
      <c r="I692" s="1"/>
      <c r="J692" s="1"/>
    </row>
    <row r="693" spans="9:10" ht="15.75" customHeight="1">
      <c r="I693" s="1"/>
      <c r="J693" s="1"/>
    </row>
    <row r="694" spans="9:10" ht="15.75" customHeight="1">
      <c r="I694" s="1"/>
      <c r="J694" s="1"/>
    </row>
    <row r="695" spans="9:10" ht="15.75" customHeight="1">
      <c r="I695" s="1"/>
      <c r="J695" s="1"/>
    </row>
    <row r="696" spans="9:10" ht="15.75" customHeight="1">
      <c r="I696" s="1"/>
      <c r="J696" s="1"/>
    </row>
    <row r="697" spans="9:10" ht="15.75" customHeight="1">
      <c r="I697" s="1"/>
      <c r="J697" s="1"/>
    </row>
    <row r="698" spans="9:10" ht="15.75" customHeight="1">
      <c r="I698" s="1"/>
      <c r="J698" s="1"/>
    </row>
    <row r="699" spans="9:10" ht="15.75" customHeight="1">
      <c r="I699" s="1"/>
      <c r="J699" s="1"/>
    </row>
    <row r="700" spans="9:10" ht="15.75" customHeight="1">
      <c r="I700" s="1"/>
      <c r="J700" s="1"/>
    </row>
    <row r="701" spans="9:10" ht="15.75" customHeight="1">
      <c r="I701" s="1"/>
      <c r="J701" s="1"/>
    </row>
    <row r="702" spans="9:10" ht="15.75" customHeight="1">
      <c r="I702" s="1"/>
      <c r="J702" s="1"/>
    </row>
    <row r="703" spans="9:10" ht="15.75" customHeight="1">
      <c r="I703" s="1"/>
      <c r="J703" s="1"/>
    </row>
    <row r="704" spans="9:10" ht="15.75" customHeight="1">
      <c r="I704" s="1"/>
      <c r="J704" s="1"/>
    </row>
    <row r="705" spans="9:10" ht="15.75" customHeight="1">
      <c r="I705" s="1"/>
      <c r="J705" s="1"/>
    </row>
    <row r="706" spans="9:10" ht="15.75" customHeight="1">
      <c r="I706" s="1"/>
      <c r="J706" s="1"/>
    </row>
    <row r="707" spans="9:10" ht="15.75" customHeight="1">
      <c r="I707" s="1"/>
      <c r="J707" s="1"/>
    </row>
    <row r="708" spans="9:10" ht="15.75" customHeight="1">
      <c r="I708" s="1"/>
      <c r="J708" s="1"/>
    </row>
    <row r="709" spans="9:10" ht="15.75" customHeight="1">
      <c r="I709" s="1"/>
      <c r="J709" s="1"/>
    </row>
    <row r="710" spans="9:10" ht="15.75" customHeight="1">
      <c r="I710" s="1"/>
      <c r="J710" s="1"/>
    </row>
    <row r="711" spans="9:10" ht="15.75" customHeight="1">
      <c r="I711" s="1"/>
      <c r="J711" s="1"/>
    </row>
    <row r="712" spans="9:10" ht="15.75" customHeight="1">
      <c r="I712" s="1"/>
      <c r="J712" s="1"/>
    </row>
    <row r="713" spans="9:10" ht="15.75" customHeight="1">
      <c r="I713" s="1"/>
      <c r="J713" s="1"/>
    </row>
    <row r="714" spans="9:10" ht="15.75" customHeight="1">
      <c r="I714" s="1"/>
      <c r="J714" s="1"/>
    </row>
    <row r="715" spans="9:10" ht="15.75" customHeight="1">
      <c r="I715" s="1"/>
      <c r="J715" s="1"/>
    </row>
    <row r="716" spans="9:10" ht="15.75" customHeight="1">
      <c r="I716" s="1"/>
      <c r="J716" s="1"/>
    </row>
    <row r="717" spans="9:10" ht="15.75" customHeight="1">
      <c r="I717" s="1"/>
      <c r="J717" s="1"/>
    </row>
    <row r="718" spans="9:10" ht="15.75" customHeight="1">
      <c r="I718" s="1"/>
      <c r="J718" s="1"/>
    </row>
    <row r="719" spans="9:10" ht="15.75" customHeight="1">
      <c r="I719" s="1"/>
      <c r="J719" s="1"/>
    </row>
    <row r="720" spans="9:10" ht="15.75" customHeight="1">
      <c r="I720" s="1"/>
      <c r="J720" s="1"/>
    </row>
    <row r="721" spans="9:10" ht="15.75" customHeight="1">
      <c r="I721" s="1"/>
      <c r="J721" s="1"/>
    </row>
    <row r="722" spans="9:10" ht="15.75" customHeight="1">
      <c r="I722" s="1"/>
      <c r="J722" s="1"/>
    </row>
    <row r="723" spans="9:10" ht="15.75" customHeight="1">
      <c r="I723" s="1"/>
      <c r="J723" s="1"/>
    </row>
    <row r="724" spans="9:10" ht="15.75" customHeight="1">
      <c r="I724" s="1"/>
      <c r="J724" s="1"/>
    </row>
    <row r="725" spans="9:10" ht="15.75" customHeight="1">
      <c r="I725" s="1"/>
      <c r="J725" s="1"/>
    </row>
    <row r="726" spans="9:10" ht="15.75" customHeight="1">
      <c r="I726" s="1"/>
      <c r="J726" s="1"/>
    </row>
    <row r="727" spans="9:10" ht="15.75" customHeight="1">
      <c r="I727" s="1"/>
      <c r="J727" s="1"/>
    </row>
    <row r="728" spans="9:10" ht="15.75" customHeight="1">
      <c r="I728" s="1"/>
      <c r="J728" s="1"/>
    </row>
    <row r="729" spans="9:10" ht="15.75" customHeight="1">
      <c r="I729" s="1"/>
      <c r="J729" s="1"/>
    </row>
    <row r="730" spans="9:10" ht="15.75" customHeight="1">
      <c r="I730" s="1"/>
      <c r="J730" s="1"/>
    </row>
    <row r="731" spans="9:10" ht="15.75" customHeight="1">
      <c r="I731" s="1"/>
      <c r="J731" s="1"/>
    </row>
    <row r="732" spans="9:10" ht="15.75" customHeight="1">
      <c r="I732" s="1"/>
      <c r="J732" s="1"/>
    </row>
    <row r="733" spans="9:10" ht="15.75" customHeight="1">
      <c r="I733" s="1"/>
      <c r="J733" s="1"/>
    </row>
    <row r="734" spans="9:10" ht="15.75" customHeight="1">
      <c r="I734" s="1"/>
      <c r="J734" s="1"/>
    </row>
    <row r="735" spans="9:10" ht="15.75" customHeight="1">
      <c r="I735" s="1"/>
      <c r="J735" s="1"/>
    </row>
    <row r="736" spans="9:10" ht="15.75" customHeight="1">
      <c r="I736" s="1"/>
      <c r="J736" s="1"/>
    </row>
    <row r="737" spans="9:10" ht="15.75" customHeight="1">
      <c r="I737" s="1"/>
      <c r="J737" s="1"/>
    </row>
    <row r="738" spans="9:10" ht="15.75" customHeight="1">
      <c r="I738" s="1"/>
      <c r="J738" s="1"/>
    </row>
    <row r="739" spans="9:10" ht="15.75" customHeight="1">
      <c r="I739" s="1"/>
      <c r="J739" s="1"/>
    </row>
    <row r="740" spans="9:10" ht="15.75" customHeight="1">
      <c r="I740" s="1"/>
      <c r="J740" s="1"/>
    </row>
    <row r="741" spans="9:10" ht="15.75" customHeight="1">
      <c r="I741" s="1"/>
      <c r="J741" s="1"/>
    </row>
    <row r="742" spans="9:10" ht="15.75" customHeight="1">
      <c r="I742" s="1"/>
      <c r="J742" s="1"/>
    </row>
    <row r="743" spans="9:10" ht="15.75" customHeight="1">
      <c r="I743" s="1"/>
      <c r="J743" s="1"/>
    </row>
    <row r="744" spans="9:10" ht="15.75" customHeight="1">
      <c r="I744" s="1"/>
      <c r="J744" s="1"/>
    </row>
    <row r="745" spans="9:10" ht="15.75" customHeight="1">
      <c r="I745" s="1"/>
      <c r="J745" s="1"/>
    </row>
    <row r="746" spans="9:10" ht="15.75" customHeight="1">
      <c r="I746" s="1"/>
      <c r="J746" s="1"/>
    </row>
    <row r="747" spans="9:10" ht="15.75" customHeight="1">
      <c r="I747" s="1"/>
      <c r="J747" s="1"/>
    </row>
    <row r="748" spans="9:10" ht="15.75" customHeight="1">
      <c r="I748" s="1"/>
      <c r="J748" s="1"/>
    </row>
    <row r="749" spans="9:10" ht="15.75" customHeight="1">
      <c r="I749" s="1"/>
      <c r="J749" s="1"/>
    </row>
    <row r="750" spans="9:10" ht="15.75" customHeight="1">
      <c r="I750" s="1"/>
      <c r="J750" s="1"/>
    </row>
    <row r="751" spans="9:10" ht="15.75" customHeight="1">
      <c r="I751" s="1"/>
      <c r="J751" s="1"/>
    </row>
    <row r="752" spans="9:10" ht="15.75" customHeight="1">
      <c r="I752" s="1"/>
      <c r="J752" s="1"/>
    </row>
    <row r="753" spans="9:10" ht="15.75" customHeight="1">
      <c r="I753" s="1"/>
      <c r="J753" s="1"/>
    </row>
    <row r="754" spans="9:10" ht="15.75" customHeight="1">
      <c r="I754" s="1"/>
      <c r="J754" s="1"/>
    </row>
    <row r="755" spans="9:10" ht="15.75" customHeight="1">
      <c r="I755" s="1"/>
      <c r="J755" s="1"/>
    </row>
    <row r="756" spans="9:10" ht="15.75" customHeight="1">
      <c r="I756" s="1"/>
      <c r="J756" s="1"/>
    </row>
    <row r="757" spans="9:10" ht="15.75" customHeight="1">
      <c r="I757" s="1"/>
      <c r="J757" s="1"/>
    </row>
    <row r="758" spans="9:10" ht="15.75" customHeight="1">
      <c r="I758" s="1"/>
      <c r="J758" s="1"/>
    </row>
    <row r="759" spans="9:10" ht="15.75" customHeight="1">
      <c r="I759" s="1"/>
      <c r="J759" s="1"/>
    </row>
    <row r="760" spans="9:10" ht="15.75" customHeight="1">
      <c r="I760" s="1"/>
      <c r="J760" s="1"/>
    </row>
    <row r="761" spans="9:10" ht="15.75" customHeight="1">
      <c r="I761" s="1"/>
      <c r="J761" s="1"/>
    </row>
    <row r="762" spans="9:10" ht="15.75" customHeight="1">
      <c r="I762" s="1"/>
      <c r="J762" s="1"/>
    </row>
    <row r="763" spans="9:10" ht="15.75" customHeight="1">
      <c r="I763" s="1"/>
      <c r="J763" s="1"/>
    </row>
    <row r="764" spans="9:10" ht="15.75" customHeight="1">
      <c r="I764" s="1"/>
      <c r="J764" s="1"/>
    </row>
    <row r="765" spans="9:10" ht="15.75" customHeight="1">
      <c r="I765" s="1"/>
      <c r="J765" s="1"/>
    </row>
    <row r="766" spans="9:10" ht="15.75" customHeight="1">
      <c r="I766" s="1"/>
      <c r="J766" s="1"/>
    </row>
    <row r="767" spans="9:10" ht="15.75" customHeight="1">
      <c r="I767" s="1"/>
      <c r="J767" s="1"/>
    </row>
    <row r="768" spans="9:10" ht="15.75" customHeight="1">
      <c r="I768" s="1"/>
      <c r="J768" s="1"/>
    </row>
    <row r="769" spans="9:10" ht="15.75" customHeight="1">
      <c r="I769" s="1"/>
      <c r="J769" s="1"/>
    </row>
    <row r="770" spans="9:10" ht="15.75" customHeight="1">
      <c r="I770" s="1"/>
      <c r="J770" s="1"/>
    </row>
    <row r="771" spans="9:10" ht="15.75" customHeight="1">
      <c r="I771" s="1"/>
      <c r="J771" s="1"/>
    </row>
    <row r="772" spans="9:10" ht="15.75" customHeight="1">
      <c r="I772" s="1"/>
      <c r="J772" s="1"/>
    </row>
    <row r="773" spans="9:10" ht="15.75" customHeight="1">
      <c r="I773" s="1"/>
      <c r="J773" s="1"/>
    </row>
    <row r="774" spans="9:10" ht="15.75" customHeight="1">
      <c r="I774" s="1"/>
      <c r="J774" s="1"/>
    </row>
    <row r="775" spans="9:10" ht="15.75" customHeight="1">
      <c r="I775" s="1"/>
      <c r="J775" s="1"/>
    </row>
    <row r="776" spans="9:10" ht="15.75" customHeight="1">
      <c r="I776" s="1"/>
      <c r="J776" s="1"/>
    </row>
    <row r="777" spans="9:10" ht="15.75" customHeight="1">
      <c r="I777" s="1"/>
      <c r="J777" s="1"/>
    </row>
    <row r="778" spans="9:10" ht="15.75" customHeight="1">
      <c r="I778" s="1"/>
      <c r="J778" s="1"/>
    </row>
    <row r="779" spans="9:10" ht="15.75" customHeight="1">
      <c r="I779" s="1"/>
      <c r="J779" s="1"/>
    </row>
    <row r="780" spans="9:10" ht="15.75" customHeight="1">
      <c r="I780" s="1"/>
      <c r="J780" s="1"/>
    </row>
    <row r="781" spans="9:10" ht="15.75" customHeight="1">
      <c r="I781" s="1"/>
      <c r="J781" s="1"/>
    </row>
    <row r="782" spans="9:10" ht="15.75" customHeight="1">
      <c r="I782" s="1"/>
      <c r="J782" s="1"/>
    </row>
    <row r="783" spans="9:10" ht="15.75" customHeight="1">
      <c r="I783" s="1"/>
      <c r="J783" s="1"/>
    </row>
    <row r="784" spans="9:10" ht="15.75" customHeight="1">
      <c r="I784" s="1"/>
      <c r="J784" s="1"/>
    </row>
    <row r="785" spans="9:10" ht="15.75" customHeight="1">
      <c r="I785" s="1"/>
      <c r="J785" s="1"/>
    </row>
    <row r="786" spans="9:10" ht="15.75" customHeight="1">
      <c r="I786" s="1"/>
      <c r="J786" s="1"/>
    </row>
    <row r="787" spans="9:10" ht="15.75" customHeight="1">
      <c r="I787" s="1"/>
      <c r="J787" s="1"/>
    </row>
    <row r="788" spans="9:10" ht="15.75" customHeight="1">
      <c r="I788" s="1"/>
      <c r="J788" s="1"/>
    </row>
    <row r="789" spans="9:10" ht="15.75" customHeight="1">
      <c r="I789" s="1"/>
      <c r="J789" s="1"/>
    </row>
    <row r="790" spans="9:10" ht="15.75" customHeight="1">
      <c r="I790" s="1"/>
      <c r="J790" s="1"/>
    </row>
    <row r="791" spans="9:10" ht="15.75" customHeight="1">
      <c r="I791" s="1"/>
      <c r="J791" s="1"/>
    </row>
    <row r="792" spans="9:10" ht="15.75" customHeight="1">
      <c r="I792" s="1"/>
      <c r="J792" s="1"/>
    </row>
    <row r="793" spans="9:10" ht="15.75" customHeight="1">
      <c r="I793" s="1"/>
      <c r="J793" s="1"/>
    </row>
    <row r="794" spans="9:10" ht="15.75" customHeight="1">
      <c r="I794" s="1"/>
      <c r="J794" s="1"/>
    </row>
    <row r="795" spans="9:10" ht="15.75" customHeight="1">
      <c r="I795" s="1"/>
      <c r="J795" s="1"/>
    </row>
    <row r="796" spans="9:10" ht="15.75" customHeight="1">
      <c r="I796" s="1"/>
      <c r="J796" s="1"/>
    </row>
    <row r="797" spans="9:10" ht="15.75" customHeight="1">
      <c r="I797" s="1"/>
      <c r="J797" s="1"/>
    </row>
    <row r="798" spans="9:10" ht="15.75" customHeight="1">
      <c r="I798" s="1"/>
      <c r="J798" s="1"/>
    </row>
    <row r="799" spans="9:10" ht="15.75" customHeight="1">
      <c r="I799" s="1"/>
      <c r="J799" s="1"/>
    </row>
    <row r="800" spans="9:10" ht="15.75" customHeight="1">
      <c r="I800" s="1"/>
      <c r="J800" s="1"/>
    </row>
    <row r="801" spans="9:10" ht="15.75" customHeight="1">
      <c r="I801" s="1"/>
      <c r="J801" s="1"/>
    </row>
    <row r="802" spans="9:10" ht="15.75" customHeight="1">
      <c r="I802" s="1"/>
      <c r="J802" s="1"/>
    </row>
    <row r="803" spans="9:10" ht="15.75" customHeight="1">
      <c r="I803" s="1"/>
      <c r="J803" s="1"/>
    </row>
    <row r="804" spans="9:10" ht="15.75" customHeight="1">
      <c r="I804" s="1"/>
      <c r="J804" s="1"/>
    </row>
    <row r="805" spans="9:10" ht="15.75" customHeight="1">
      <c r="I805" s="1"/>
      <c r="J805" s="1"/>
    </row>
    <row r="806" spans="9:10" ht="15.75" customHeight="1">
      <c r="I806" s="1"/>
      <c r="J806" s="1"/>
    </row>
    <row r="807" spans="9:10" ht="15.75" customHeight="1">
      <c r="I807" s="1"/>
      <c r="J807" s="1"/>
    </row>
    <row r="808" spans="9:10" ht="15.75" customHeight="1">
      <c r="I808" s="1"/>
      <c r="J808" s="1"/>
    </row>
    <row r="809" spans="9:10" ht="15.75" customHeight="1">
      <c r="I809" s="1"/>
      <c r="J809" s="1"/>
    </row>
    <row r="810" spans="9:10" ht="15.75" customHeight="1">
      <c r="I810" s="1"/>
      <c r="J810" s="1"/>
    </row>
    <row r="811" spans="9:10" ht="15.75" customHeight="1">
      <c r="I811" s="1"/>
      <c r="J811" s="1"/>
    </row>
    <row r="812" spans="9:10" ht="15.75" customHeight="1">
      <c r="I812" s="1"/>
      <c r="J812" s="1"/>
    </row>
    <row r="813" spans="9:10" ht="15.75" customHeight="1">
      <c r="I813" s="1"/>
      <c r="J813" s="1"/>
    </row>
    <row r="814" spans="9:10" ht="15.75" customHeight="1">
      <c r="I814" s="1"/>
      <c r="J814" s="1"/>
    </row>
    <row r="815" spans="9:10" ht="15.75" customHeight="1">
      <c r="I815" s="1"/>
      <c r="J815" s="1"/>
    </row>
    <row r="816" spans="9:10" ht="15.75" customHeight="1">
      <c r="I816" s="1"/>
      <c r="J816" s="1"/>
    </row>
    <row r="817" spans="9:10" ht="15.75" customHeight="1">
      <c r="I817" s="1"/>
      <c r="J817" s="1"/>
    </row>
    <row r="818" spans="9:10" ht="15.75" customHeight="1">
      <c r="I818" s="1"/>
      <c r="J818" s="1"/>
    </row>
    <row r="819" spans="9:10" ht="15.75" customHeight="1">
      <c r="I819" s="1"/>
      <c r="J819" s="1"/>
    </row>
    <row r="820" spans="9:10" ht="15.75" customHeight="1">
      <c r="I820" s="1"/>
      <c r="J820" s="1"/>
    </row>
    <row r="821" spans="9:10" ht="15.75" customHeight="1">
      <c r="I821" s="1"/>
      <c r="J821" s="1"/>
    </row>
    <row r="822" spans="9:10" ht="15.75" customHeight="1">
      <c r="I822" s="1"/>
      <c r="J822" s="1"/>
    </row>
    <row r="823" spans="9:10" ht="15.75" customHeight="1">
      <c r="I823" s="1"/>
      <c r="J823" s="1"/>
    </row>
    <row r="824" spans="9:10" ht="15.75" customHeight="1">
      <c r="I824" s="1"/>
      <c r="J824" s="1"/>
    </row>
    <row r="825" spans="9:10" ht="15.75" customHeight="1">
      <c r="I825" s="1"/>
      <c r="J825" s="1"/>
    </row>
    <row r="826" spans="9:10" ht="15.75" customHeight="1">
      <c r="I826" s="1"/>
      <c r="J826" s="1"/>
    </row>
    <row r="827" spans="9:10" ht="15.75" customHeight="1">
      <c r="I827" s="1"/>
      <c r="J827" s="1"/>
    </row>
    <row r="828" spans="9:10" ht="15.75" customHeight="1">
      <c r="I828" s="1"/>
      <c r="J828" s="1"/>
    </row>
    <row r="829" spans="9:10" ht="15.75" customHeight="1">
      <c r="I829" s="1"/>
      <c r="J829" s="1"/>
    </row>
    <row r="830" spans="9:10" ht="15.75" customHeight="1">
      <c r="I830" s="1"/>
      <c r="J830" s="1"/>
    </row>
    <row r="831" spans="9:10" ht="15.75" customHeight="1">
      <c r="I831" s="1"/>
      <c r="J831" s="1"/>
    </row>
    <row r="832" spans="9:10" ht="15.75" customHeight="1">
      <c r="I832" s="1"/>
      <c r="J832" s="1"/>
    </row>
    <row r="833" spans="9:10" ht="15.75" customHeight="1">
      <c r="I833" s="1"/>
      <c r="J833" s="1"/>
    </row>
    <row r="834" spans="9:10" ht="15.75" customHeight="1">
      <c r="I834" s="1"/>
      <c r="J834" s="1"/>
    </row>
    <row r="835" spans="9:10" ht="15.75" customHeight="1">
      <c r="I835" s="1"/>
      <c r="J835" s="1"/>
    </row>
    <row r="836" spans="9:10" ht="15.75" customHeight="1">
      <c r="I836" s="1"/>
      <c r="J836" s="1"/>
    </row>
    <row r="837" spans="9:10" ht="15.75" customHeight="1">
      <c r="I837" s="1"/>
      <c r="J837" s="1"/>
    </row>
    <row r="838" spans="9:10" ht="15.75" customHeight="1">
      <c r="I838" s="1"/>
      <c r="J838" s="1"/>
    </row>
    <row r="839" spans="9:10" ht="15.75" customHeight="1">
      <c r="I839" s="1"/>
      <c r="J839" s="1"/>
    </row>
    <row r="840" spans="9:10" ht="15.75" customHeight="1">
      <c r="I840" s="1"/>
      <c r="J840" s="1"/>
    </row>
    <row r="841" spans="9:10" ht="15.75" customHeight="1">
      <c r="I841" s="1"/>
      <c r="J841" s="1"/>
    </row>
    <row r="842" spans="9:10" ht="15.75" customHeight="1">
      <c r="I842" s="1"/>
      <c r="J842" s="1"/>
    </row>
    <row r="843" spans="9:10" ht="15.75" customHeight="1">
      <c r="I843" s="1"/>
      <c r="J843" s="1"/>
    </row>
    <row r="844" spans="9:10" ht="15.75" customHeight="1">
      <c r="I844" s="1"/>
      <c r="J844" s="1"/>
    </row>
    <row r="845" spans="9:10" ht="15.75" customHeight="1">
      <c r="I845" s="1"/>
      <c r="J845" s="1"/>
    </row>
    <row r="846" spans="9:10" ht="15.75" customHeight="1">
      <c r="I846" s="1"/>
      <c r="J846" s="1"/>
    </row>
    <row r="847" spans="9:10" ht="15.75" customHeight="1">
      <c r="I847" s="1"/>
      <c r="J847" s="1"/>
    </row>
    <row r="848" spans="9:10" ht="15.75" customHeight="1">
      <c r="I848" s="1"/>
      <c r="J848" s="1"/>
    </row>
    <row r="849" spans="9:10" ht="15.75" customHeight="1">
      <c r="I849" s="1"/>
      <c r="J849" s="1"/>
    </row>
    <row r="850" spans="9:10" ht="15.75" customHeight="1">
      <c r="I850" s="1"/>
      <c r="J850" s="1"/>
    </row>
    <row r="851" spans="9:10" ht="15.75" customHeight="1">
      <c r="I851" s="1"/>
      <c r="J851" s="1"/>
    </row>
    <row r="852" spans="9:10" ht="15.75" customHeight="1">
      <c r="I852" s="1"/>
      <c r="J852" s="1"/>
    </row>
    <row r="853" spans="9:10" ht="15.75" customHeight="1">
      <c r="I853" s="1"/>
      <c r="J853" s="1"/>
    </row>
    <row r="854" spans="9:10" ht="15.75" customHeight="1">
      <c r="I854" s="1"/>
      <c r="J854" s="1"/>
    </row>
    <row r="855" spans="9:10" ht="15.75" customHeight="1">
      <c r="I855" s="1"/>
      <c r="J855" s="1"/>
    </row>
    <row r="856" spans="9:10" ht="15.75" customHeight="1">
      <c r="I856" s="1"/>
      <c r="J856" s="1"/>
    </row>
    <row r="857" spans="9:10" ht="15.75" customHeight="1">
      <c r="I857" s="1"/>
      <c r="J857" s="1"/>
    </row>
    <row r="858" spans="9:10" ht="15.75" customHeight="1">
      <c r="I858" s="1"/>
      <c r="J858" s="1"/>
    </row>
    <row r="859" spans="9:10" ht="15.75" customHeight="1">
      <c r="I859" s="1"/>
      <c r="J859" s="1"/>
    </row>
    <row r="860" spans="9:10" ht="15.75" customHeight="1">
      <c r="I860" s="1"/>
      <c r="J860" s="1"/>
    </row>
    <row r="861" spans="9:10" ht="15.75" customHeight="1">
      <c r="I861" s="1"/>
      <c r="J861" s="1"/>
    </row>
    <row r="862" spans="9:10" ht="15.75" customHeight="1">
      <c r="I862" s="1"/>
      <c r="J862" s="1"/>
    </row>
    <row r="863" spans="9:10" ht="15.75" customHeight="1">
      <c r="I863" s="1"/>
      <c r="J863" s="1"/>
    </row>
    <row r="864" spans="9:10" ht="15.75" customHeight="1">
      <c r="I864" s="1"/>
      <c r="J864" s="1"/>
    </row>
    <row r="865" spans="9:10" ht="15.75" customHeight="1">
      <c r="I865" s="1"/>
      <c r="J865" s="1"/>
    </row>
    <row r="866" spans="9:10" ht="15.75" customHeight="1">
      <c r="I866" s="1"/>
      <c r="J866" s="1"/>
    </row>
    <row r="867" spans="9:10" ht="15.75" customHeight="1">
      <c r="I867" s="1"/>
      <c r="J867" s="1"/>
    </row>
    <row r="868" spans="9:10" ht="15.75" customHeight="1">
      <c r="I868" s="1"/>
      <c r="J868" s="1"/>
    </row>
    <row r="869" spans="9:10" ht="15.75" customHeight="1">
      <c r="I869" s="1"/>
      <c r="J869" s="1"/>
    </row>
    <row r="870" spans="9:10" ht="15.75" customHeight="1">
      <c r="I870" s="1"/>
      <c r="J870" s="1"/>
    </row>
    <row r="871" spans="9:10" ht="15.75" customHeight="1">
      <c r="I871" s="1"/>
      <c r="J871" s="1"/>
    </row>
    <row r="872" spans="9:10" ht="15.75" customHeight="1">
      <c r="I872" s="1"/>
      <c r="J872" s="1"/>
    </row>
    <row r="873" spans="9:10" ht="15.75" customHeight="1">
      <c r="I873" s="1"/>
      <c r="J873" s="1"/>
    </row>
    <row r="874" spans="9:10" ht="15.75" customHeight="1">
      <c r="I874" s="1"/>
      <c r="J874" s="1"/>
    </row>
    <row r="875" spans="9:10" ht="15.75" customHeight="1">
      <c r="I875" s="1"/>
      <c r="J875" s="1"/>
    </row>
    <row r="876" spans="9:10" ht="15.75" customHeight="1">
      <c r="I876" s="1"/>
      <c r="J876" s="1"/>
    </row>
    <row r="877" spans="9:10" ht="15.75" customHeight="1">
      <c r="I877" s="1"/>
      <c r="J877" s="1"/>
    </row>
    <row r="878" spans="9:10" ht="15.75" customHeight="1">
      <c r="I878" s="1"/>
      <c r="J878" s="1"/>
    </row>
    <row r="879" spans="9:10" ht="15.75" customHeight="1">
      <c r="I879" s="1"/>
      <c r="J879" s="1"/>
    </row>
    <row r="880" spans="9:10" ht="15.75" customHeight="1">
      <c r="I880" s="1"/>
      <c r="J880" s="1"/>
    </row>
    <row r="881" spans="9:10" ht="15.75" customHeight="1">
      <c r="I881" s="1"/>
      <c r="J881" s="1"/>
    </row>
    <row r="882" spans="9:10" ht="15.75" customHeight="1">
      <c r="I882" s="1"/>
      <c r="J882" s="1"/>
    </row>
    <row r="883" spans="9:10" ht="15.75" customHeight="1">
      <c r="I883" s="1"/>
      <c r="J883" s="1"/>
    </row>
    <row r="884" spans="9:10" ht="15.75" customHeight="1">
      <c r="I884" s="1"/>
      <c r="J884" s="1"/>
    </row>
    <row r="885" spans="9:10" ht="15.75" customHeight="1">
      <c r="I885" s="1"/>
      <c r="J885" s="1"/>
    </row>
    <row r="886" spans="9:10" ht="15.75" customHeight="1">
      <c r="I886" s="1"/>
      <c r="J886" s="1"/>
    </row>
    <row r="887" spans="9:10" ht="15.75" customHeight="1">
      <c r="I887" s="1"/>
      <c r="J887" s="1"/>
    </row>
    <row r="888" spans="9:10" ht="15.75" customHeight="1">
      <c r="I888" s="1"/>
      <c r="J888" s="1"/>
    </row>
    <row r="889" spans="9:10" ht="15.75" customHeight="1">
      <c r="I889" s="1"/>
      <c r="J889" s="1"/>
    </row>
    <row r="890" spans="9:10" ht="15.75" customHeight="1">
      <c r="I890" s="1"/>
      <c r="J890" s="1"/>
    </row>
    <row r="891" spans="9:10" ht="15.75" customHeight="1">
      <c r="I891" s="1"/>
      <c r="J891" s="1"/>
    </row>
    <row r="892" spans="9:10" ht="15.75" customHeight="1">
      <c r="I892" s="1"/>
      <c r="J892" s="1"/>
    </row>
    <row r="893" spans="9:10" ht="15.75" customHeight="1">
      <c r="I893" s="1"/>
      <c r="J893" s="1"/>
    </row>
    <row r="894" spans="9:10" ht="15.75" customHeight="1">
      <c r="I894" s="1"/>
      <c r="J894" s="1"/>
    </row>
    <row r="895" spans="9:10" ht="15.75" customHeight="1">
      <c r="I895" s="1"/>
      <c r="J895" s="1"/>
    </row>
    <row r="896" spans="9:10" ht="15.75" customHeight="1">
      <c r="I896" s="1"/>
      <c r="J896" s="1"/>
    </row>
    <row r="897" spans="9:10" ht="15.75" customHeight="1">
      <c r="I897" s="1"/>
      <c r="J897" s="1"/>
    </row>
    <row r="898" spans="9:10" ht="15.75" customHeight="1">
      <c r="I898" s="1"/>
      <c r="J898" s="1"/>
    </row>
    <row r="899" spans="9:10" ht="15.75" customHeight="1">
      <c r="I899" s="1"/>
      <c r="J899" s="1"/>
    </row>
    <row r="900" spans="9:10" ht="15.75" customHeight="1">
      <c r="I900" s="1"/>
      <c r="J900" s="1"/>
    </row>
    <row r="901" spans="9:10" ht="15.75" customHeight="1">
      <c r="I901" s="1"/>
      <c r="J901" s="1"/>
    </row>
    <row r="902" spans="9:10" ht="15.75" customHeight="1">
      <c r="I902" s="1"/>
      <c r="J902" s="1"/>
    </row>
    <row r="903" spans="9:10" ht="15.75" customHeight="1">
      <c r="I903" s="1"/>
      <c r="J903" s="1"/>
    </row>
    <row r="904" spans="9:10" ht="15.75" customHeight="1">
      <c r="I904" s="1"/>
      <c r="J904" s="1"/>
    </row>
    <row r="905" spans="9:10" ht="15.75" customHeight="1">
      <c r="I905" s="1"/>
      <c r="J905" s="1"/>
    </row>
    <row r="906" spans="9:10" ht="15.75" customHeight="1">
      <c r="I906" s="1"/>
      <c r="J906" s="1"/>
    </row>
    <row r="907" spans="9:10" ht="15.75" customHeight="1">
      <c r="I907" s="1"/>
      <c r="J907" s="1"/>
    </row>
    <row r="908" spans="9:10" ht="15.75" customHeight="1">
      <c r="I908" s="1"/>
      <c r="J908" s="1"/>
    </row>
    <row r="909" spans="9:10" ht="15.75" customHeight="1">
      <c r="I909" s="1"/>
      <c r="J909" s="1"/>
    </row>
    <row r="910" spans="9:10" ht="15.75" customHeight="1">
      <c r="I910" s="1"/>
      <c r="J910" s="1"/>
    </row>
    <row r="911" spans="9:10" ht="15.75" customHeight="1">
      <c r="I911" s="1"/>
      <c r="J911" s="1"/>
    </row>
    <row r="912" spans="9:10" ht="15.75" customHeight="1">
      <c r="I912" s="1"/>
      <c r="J912" s="1"/>
    </row>
    <row r="913" spans="9:10" ht="15.75" customHeight="1">
      <c r="I913" s="1"/>
      <c r="J913" s="1"/>
    </row>
    <row r="914" spans="9:10" ht="15.75" customHeight="1">
      <c r="I914" s="1"/>
      <c r="J914" s="1"/>
    </row>
    <row r="915" spans="9:10" ht="15.75" customHeight="1">
      <c r="I915" s="1"/>
      <c r="J915" s="1"/>
    </row>
    <row r="916" spans="9:10" ht="15.75" customHeight="1">
      <c r="I916" s="1"/>
      <c r="J916" s="1"/>
    </row>
    <row r="917" spans="9:10" ht="15.75" customHeight="1">
      <c r="I917" s="1"/>
      <c r="J917" s="1"/>
    </row>
    <row r="918" spans="9:10" ht="15.75" customHeight="1">
      <c r="I918" s="1"/>
      <c r="J918" s="1"/>
    </row>
    <row r="919" spans="9:10" ht="15.75" customHeight="1">
      <c r="I919" s="1"/>
      <c r="J919" s="1"/>
    </row>
    <row r="920" spans="9:10" ht="15.75" customHeight="1">
      <c r="I920" s="1"/>
      <c r="J920" s="1"/>
    </row>
    <row r="921" spans="9:10" ht="15.75" customHeight="1">
      <c r="I921" s="1"/>
      <c r="J921" s="1"/>
    </row>
    <row r="922" spans="9:10" ht="15.75" customHeight="1">
      <c r="I922" s="1"/>
      <c r="J922" s="1"/>
    </row>
    <row r="923" spans="9:10" ht="15.75" customHeight="1">
      <c r="I923" s="1"/>
      <c r="J923" s="1"/>
    </row>
    <row r="924" spans="9:10" ht="15.75" customHeight="1">
      <c r="I924" s="1"/>
      <c r="J924" s="1"/>
    </row>
    <row r="925" spans="9:10" ht="15.75" customHeight="1">
      <c r="I925" s="1"/>
      <c r="J925" s="1"/>
    </row>
    <row r="926" spans="9:10" ht="15.75" customHeight="1">
      <c r="I926" s="1"/>
      <c r="J926" s="1"/>
    </row>
    <row r="927" spans="9:10" ht="15.75" customHeight="1">
      <c r="I927" s="1"/>
      <c r="J927" s="1"/>
    </row>
    <row r="928" spans="9:10" ht="15.75" customHeight="1">
      <c r="I928" s="1"/>
      <c r="J928" s="1"/>
    </row>
    <row r="929" spans="9:10" ht="15.75" customHeight="1">
      <c r="I929" s="1"/>
      <c r="J929" s="1"/>
    </row>
    <row r="930" spans="9:10" ht="15.75" customHeight="1">
      <c r="I930" s="1"/>
      <c r="J930" s="1"/>
    </row>
    <row r="931" spans="9:10" ht="15.75" customHeight="1">
      <c r="I931" s="1"/>
      <c r="J931" s="1"/>
    </row>
    <row r="932" spans="9:10" ht="15.75" customHeight="1">
      <c r="I932" s="1"/>
      <c r="J932" s="1"/>
    </row>
    <row r="933" spans="9:10" ht="15.75" customHeight="1">
      <c r="I933" s="1"/>
      <c r="J933" s="1"/>
    </row>
    <row r="934" spans="9:10" ht="15.75" customHeight="1">
      <c r="I934" s="1"/>
      <c r="J934" s="1"/>
    </row>
    <row r="935" spans="9:10" ht="15.75" customHeight="1">
      <c r="I935" s="1"/>
      <c r="J935" s="1"/>
    </row>
    <row r="936" spans="9:10" ht="15.75" customHeight="1">
      <c r="I936" s="1"/>
      <c r="J936" s="1"/>
    </row>
    <row r="937" spans="9:10" ht="15.75" customHeight="1">
      <c r="I937" s="1"/>
      <c r="J937" s="1"/>
    </row>
    <row r="938" spans="9:10" ht="15.75" customHeight="1">
      <c r="I938" s="1"/>
      <c r="J938" s="1"/>
    </row>
    <row r="939" spans="9:10" ht="15.75" customHeight="1">
      <c r="I939" s="1"/>
      <c r="J939" s="1"/>
    </row>
    <row r="940" spans="9:10" ht="15.75" customHeight="1">
      <c r="I940" s="1"/>
      <c r="J940" s="1"/>
    </row>
    <row r="941" spans="9:10" ht="15.75" customHeight="1">
      <c r="I941" s="1"/>
      <c r="J941" s="1"/>
    </row>
    <row r="942" spans="9:10" ht="15.75" customHeight="1">
      <c r="I942" s="1"/>
      <c r="J942" s="1"/>
    </row>
    <row r="943" spans="9:10" ht="15.75" customHeight="1">
      <c r="I943" s="1"/>
      <c r="J943" s="1"/>
    </row>
    <row r="944" spans="9:10" ht="15.75" customHeight="1">
      <c r="I944" s="1"/>
      <c r="J944" s="1"/>
    </row>
    <row r="945" spans="9:10" ht="15.75" customHeight="1">
      <c r="I945" s="1"/>
      <c r="J945" s="1"/>
    </row>
    <row r="946" spans="9:10" ht="15.75" customHeight="1">
      <c r="I946" s="1"/>
      <c r="J946" s="1"/>
    </row>
    <row r="947" spans="9:10" ht="15.75" customHeight="1">
      <c r="I947" s="1"/>
      <c r="J947" s="1"/>
    </row>
    <row r="948" spans="9:10" ht="15.75" customHeight="1">
      <c r="I948" s="1"/>
      <c r="J948" s="1"/>
    </row>
    <row r="949" spans="9:10" ht="15.75" customHeight="1">
      <c r="I949" s="1"/>
      <c r="J949" s="1"/>
    </row>
    <row r="950" spans="9:10" ht="15.75" customHeight="1">
      <c r="I950" s="1"/>
      <c r="J950" s="1"/>
    </row>
    <row r="951" spans="9:10" ht="15.75" customHeight="1">
      <c r="I951" s="1"/>
      <c r="J951" s="1"/>
    </row>
    <row r="952" spans="9:10" ht="15.75" customHeight="1">
      <c r="I952" s="1"/>
      <c r="J952" s="1"/>
    </row>
    <row r="953" spans="9:10" ht="15.75" customHeight="1">
      <c r="I953" s="1"/>
      <c r="J953" s="1"/>
    </row>
    <row r="954" spans="9:10" ht="15.75" customHeight="1">
      <c r="I954" s="1"/>
      <c r="J954" s="1"/>
    </row>
    <row r="955" spans="9:10" ht="15.75" customHeight="1">
      <c r="I955" s="1"/>
      <c r="J955" s="1"/>
    </row>
    <row r="956" spans="9:10" ht="15.75" customHeight="1">
      <c r="I956" s="1"/>
      <c r="J956" s="1"/>
    </row>
    <row r="957" spans="9:10" ht="15.75" customHeight="1">
      <c r="I957" s="1"/>
      <c r="J957" s="1"/>
    </row>
    <row r="958" spans="9:10" ht="15.75" customHeight="1">
      <c r="I958" s="1"/>
      <c r="J958" s="1"/>
    </row>
    <row r="959" spans="9:10" ht="15.75" customHeight="1">
      <c r="I959" s="1"/>
      <c r="J959" s="1"/>
    </row>
    <row r="960" spans="9:10" ht="15.75" customHeight="1">
      <c r="I960" s="1"/>
      <c r="J960" s="1"/>
    </row>
    <row r="961" spans="9:10" ht="15.75" customHeight="1">
      <c r="I961" s="1"/>
      <c r="J961" s="1"/>
    </row>
    <row r="962" spans="9:10" ht="15.75" customHeight="1">
      <c r="I962" s="1"/>
      <c r="J962" s="1"/>
    </row>
    <row r="963" spans="9:10" ht="15.75" customHeight="1">
      <c r="I963" s="1"/>
      <c r="J963" s="1"/>
    </row>
    <row r="964" spans="9:10" ht="15.75" customHeight="1">
      <c r="I964" s="1"/>
      <c r="J964" s="1"/>
    </row>
    <row r="965" spans="9:10" ht="15.75" customHeight="1">
      <c r="I965" s="1"/>
      <c r="J965" s="1"/>
    </row>
    <row r="966" spans="9:10" ht="15.75" customHeight="1">
      <c r="I966" s="1"/>
      <c r="J966" s="1"/>
    </row>
    <row r="967" spans="9:10" ht="15.75" customHeight="1">
      <c r="I967" s="1"/>
      <c r="J967" s="1"/>
    </row>
    <row r="968" spans="9:10" ht="15.75" customHeight="1">
      <c r="I968" s="1"/>
      <c r="J968" s="1"/>
    </row>
    <row r="969" spans="9:10" ht="15.75" customHeight="1">
      <c r="I969" s="1"/>
      <c r="J969" s="1"/>
    </row>
    <row r="970" spans="9:10" ht="15.75" customHeight="1">
      <c r="I970" s="1"/>
      <c r="J970" s="1"/>
    </row>
    <row r="971" spans="9:10" ht="15.75" customHeight="1">
      <c r="I971" s="1"/>
      <c r="J971" s="1"/>
    </row>
    <row r="972" spans="9:10" ht="15.75" customHeight="1">
      <c r="I972" s="1"/>
      <c r="J972" s="1"/>
    </row>
    <row r="973" spans="9:10" ht="15.75" customHeight="1">
      <c r="I973" s="1"/>
      <c r="J973" s="1"/>
    </row>
    <row r="974" spans="9:10" ht="15.75" customHeight="1">
      <c r="I974" s="1"/>
      <c r="J974" s="1"/>
    </row>
    <row r="975" spans="9:10" ht="15.75" customHeight="1">
      <c r="I975" s="1"/>
      <c r="J975" s="1"/>
    </row>
    <row r="976" spans="9:10" ht="15.75" customHeight="1">
      <c r="I976" s="1"/>
      <c r="J976" s="1"/>
    </row>
    <row r="977" spans="9:10" ht="15.75" customHeight="1">
      <c r="I977" s="1"/>
      <c r="J977" s="1"/>
    </row>
    <row r="978" spans="9:10" ht="15.75" customHeight="1">
      <c r="I978" s="1"/>
      <c r="J978" s="1"/>
    </row>
    <row r="979" spans="9:10" ht="15.75" customHeight="1">
      <c r="I979" s="1"/>
      <c r="J979" s="1"/>
    </row>
    <row r="980" spans="9:10" ht="15.75" customHeight="1">
      <c r="I980" s="1"/>
      <c r="J980" s="1"/>
    </row>
    <row r="981" spans="9:10" ht="15.75" customHeight="1">
      <c r="I981" s="1"/>
      <c r="J981" s="1"/>
    </row>
    <row r="982" spans="9:10" ht="15.75" customHeight="1">
      <c r="I982" s="1"/>
      <c r="J982" s="1"/>
    </row>
    <row r="983" spans="9:10" ht="15.75" customHeight="1">
      <c r="I983" s="1"/>
      <c r="J983" s="1"/>
    </row>
    <row r="984" spans="9:10" ht="15.75" customHeight="1">
      <c r="I984" s="1"/>
      <c r="J984" s="1"/>
    </row>
    <row r="985" spans="9:10" ht="15.75" customHeight="1">
      <c r="I985" s="1"/>
      <c r="J985" s="1"/>
    </row>
    <row r="986" spans="9:10" ht="15.75" customHeight="1">
      <c r="I986" s="1"/>
      <c r="J986" s="1"/>
    </row>
    <row r="987" spans="9:10" ht="15.75" customHeight="1">
      <c r="I987" s="1"/>
      <c r="J987" s="1"/>
    </row>
    <row r="988" spans="9:10" ht="15.75" customHeight="1">
      <c r="I988" s="1"/>
      <c r="J988" s="1"/>
    </row>
    <row r="989" spans="9:10" ht="15.75" customHeight="1">
      <c r="I989" s="1"/>
      <c r="J989" s="1"/>
    </row>
    <row r="990" spans="9:10" ht="15.75" customHeight="1">
      <c r="I990" s="1"/>
      <c r="J990" s="1"/>
    </row>
    <row r="991" spans="9:10" ht="15.75" customHeight="1">
      <c r="I991" s="1"/>
      <c r="J991" s="1"/>
    </row>
    <row r="992" spans="9:10" ht="15.75" customHeight="1">
      <c r="I992" s="1"/>
      <c r="J992" s="1"/>
    </row>
    <row r="993" spans="9:10" ht="15.75" customHeight="1">
      <c r="I993" s="1"/>
      <c r="J993" s="1"/>
    </row>
    <row r="994" spans="9:10" ht="15.75" customHeight="1">
      <c r="I994" s="1"/>
      <c r="J994" s="1"/>
    </row>
    <row r="995" spans="9:10" ht="15.75" customHeight="1">
      <c r="I995" s="1"/>
      <c r="J995" s="1"/>
    </row>
    <row r="996" spans="9:10" ht="15.75" customHeight="1">
      <c r="I996" s="1"/>
      <c r="J996" s="1"/>
    </row>
    <row r="997" spans="9:10" ht="15.75" customHeight="1">
      <c r="I997" s="1"/>
      <c r="J997" s="1"/>
    </row>
    <row r="998" spans="9:10" ht="15.75" customHeight="1">
      <c r="I998" s="1"/>
      <c r="J998" s="1"/>
    </row>
    <row r="999" spans="9:10" ht="15.75" customHeight="1">
      <c r="I999" s="1"/>
      <c r="J999" s="1"/>
    </row>
    <row r="1000" spans="9:10" ht="15.75" customHeight="1">
      <c r="I1000" s="1"/>
      <c r="J1000" s="1"/>
    </row>
  </sheetData>
  <mergeCells count="7">
    <mergeCell ref="D12:H12"/>
    <mergeCell ref="K12:O12"/>
    <mergeCell ref="E4:T4"/>
    <mergeCell ref="E5:T5"/>
    <mergeCell ref="E6:H6"/>
    <mergeCell ref="K6:Q6"/>
    <mergeCell ref="R6:T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1.125" defaultRowHeight="15" customHeight="1"/>
  <cols>
    <col min="1" max="1" width="10.5" customWidth="1"/>
    <col min="2" max="2" width="29.875" customWidth="1"/>
    <col min="3" max="3" width="10.625" customWidth="1"/>
    <col min="4" max="4" width="26.375" customWidth="1"/>
    <col min="5" max="8" width="21.5" customWidth="1"/>
    <col min="9" max="9" width="32.375" customWidth="1"/>
    <col min="10" max="10" width="25.625" customWidth="1"/>
    <col min="11" max="15" width="21.5" customWidth="1"/>
    <col min="16" max="16" width="28.375" customWidth="1"/>
    <col min="17" max="17" width="24.125" customWidth="1"/>
    <col min="18" max="18" width="17.125" customWidth="1"/>
    <col min="19" max="19" width="20" customWidth="1"/>
    <col min="20" max="20" width="18.875" customWidth="1"/>
    <col min="21" max="21" width="18.625" customWidth="1"/>
    <col min="22" max="26" width="10.5" customWidth="1"/>
  </cols>
  <sheetData>
    <row r="1" spans="1:26" ht="15.75" customHeight="1"/>
    <row r="2" spans="1:26" ht="15.75" customHeight="1"/>
    <row r="3" spans="1:26" ht="15.75" customHeight="1">
      <c r="E3" s="329" t="s">
        <v>284</v>
      </c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4"/>
    </row>
    <row r="4" spans="1:26" ht="15.75" customHeight="1">
      <c r="E4" s="456" t="s">
        <v>32</v>
      </c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40"/>
    </row>
    <row r="5" spans="1:26" ht="39" customHeight="1">
      <c r="D5" s="322" t="s">
        <v>69</v>
      </c>
      <c r="E5" s="323"/>
      <c r="F5" s="323"/>
      <c r="G5" s="324"/>
      <c r="J5" s="322" t="s">
        <v>70</v>
      </c>
      <c r="K5" s="323"/>
      <c r="L5" s="323"/>
      <c r="M5" s="324"/>
      <c r="P5" s="322" t="s">
        <v>71</v>
      </c>
      <c r="Q5" s="323"/>
      <c r="R5" s="323"/>
      <c r="S5" s="323"/>
      <c r="T5" s="323"/>
      <c r="U5" s="324"/>
    </row>
    <row r="6" spans="1:26" ht="156.75" customHeight="1">
      <c r="D6" s="37" t="s">
        <v>160</v>
      </c>
      <c r="E6" s="37" t="s">
        <v>349</v>
      </c>
      <c r="F6" s="37" t="s">
        <v>162</v>
      </c>
      <c r="G6" s="37" t="s">
        <v>163</v>
      </c>
      <c r="J6" s="373" t="s">
        <v>350</v>
      </c>
      <c r="K6" s="373" t="s">
        <v>165</v>
      </c>
      <c r="L6" s="373" t="s">
        <v>166</v>
      </c>
      <c r="M6" s="374" t="s">
        <v>351</v>
      </c>
      <c r="P6" s="375" t="s">
        <v>352</v>
      </c>
      <c r="Q6" s="38" t="s">
        <v>353</v>
      </c>
      <c r="R6" s="38" t="s">
        <v>354</v>
      </c>
      <c r="S6" s="39" t="s">
        <v>355</v>
      </c>
      <c r="T6" s="375" t="s">
        <v>356</v>
      </c>
      <c r="U6" s="38" t="s">
        <v>357</v>
      </c>
    </row>
    <row r="7" spans="1:26" ht="15.75" customHeight="1"/>
    <row r="8" spans="1:26" ht="15.75" customHeight="1"/>
    <row r="9" spans="1:26" ht="15.75" customHeight="1"/>
    <row r="10" spans="1:26" ht="24" customHeight="1">
      <c r="B10" s="451" t="s">
        <v>292</v>
      </c>
      <c r="C10" s="323"/>
      <c r="D10" s="323"/>
      <c r="E10" s="323"/>
      <c r="F10" s="323"/>
      <c r="G10" s="324"/>
      <c r="I10" s="451" t="s">
        <v>292</v>
      </c>
      <c r="J10" s="323"/>
      <c r="K10" s="323"/>
      <c r="L10" s="323"/>
      <c r="M10" s="323"/>
      <c r="N10" s="324"/>
      <c r="P10" s="321" t="s">
        <v>292</v>
      </c>
      <c r="Q10" s="325"/>
      <c r="R10" s="325"/>
      <c r="S10" s="325"/>
      <c r="T10" s="325"/>
      <c r="U10" s="457"/>
    </row>
    <row r="11" spans="1:26" ht="15.75" customHeight="1">
      <c r="C11" s="284" t="s">
        <v>293</v>
      </c>
      <c r="D11" s="285" t="s">
        <v>294</v>
      </c>
      <c r="E11" s="286" t="s">
        <v>295</v>
      </c>
      <c r="F11" s="287" t="s">
        <v>296</v>
      </c>
      <c r="G11" s="288" t="s">
        <v>297</v>
      </c>
      <c r="J11" s="284" t="s">
        <v>293</v>
      </c>
      <c r="K11" s="285" t="s">
        <v>294</v>
      </c>
      <c r="L11" s="286" t="s">
        <v>295</v>
      </c>
      <c r="M11" s="287" t="s">
        <v>296</v>
      </c>
      <c r="N11" s="288" t="s">
        <v>297</v>
      </c>
      <c r="P11" s="42" t="s">
        <v>358</v>
      </c>
      <c r="Q11" s="452" t="s">
        <v>293</v>
      </c>
      <c r="R11" s="453" t="s">
        <v>294</v>
      </c>
      <c r="S11" s="454" t="s">
        <v>295</v>
      </c>
      <c r="T11" s="262" t="s">
        <v>296</v>
      </c>
      <c r="U11" s="455" t="s">
        <v>297</v>
      </c>
    </row>
    <row r="12" spans="1:26" ht="118.5" customHeight="1">
      <c r="B12" s="37" t="s">
        <v>160</v>
      </c>
      <c r="C12" s="289" t="s">
        <v>174</v>
      </c>
      <c r="D12" s="290" t="s">
        <v>298</v>
      </c>
      <c r="E12" s="291" t="s">
        <v>359</v>
      </c>
      <c r="F12" s="292" t="s">
        <v>300</v>
      </c>
      <c r="G12" s="293" t="s">
        <v>360</v>
      </c>
      <c r="I12" s="458" t="s">
        <v>361</v>
      </c>
      <c r="J12" s="294" t="s">
        <v>214</v>
      </c>
      <c r="K12" s="295" t="s">
        <v>362</v>
      </c>
      <c r="L12" s="296" t="s">
        <v>363</v>
      </c>
      <c r="M12" s="297" t="s">
        <v>364</v>
      </c>
      <c r="N12" s="298" t="s">
        <v>365</v>
      </c>
      <c r="P12" s="299" t="s">
        <v>352</v>
      </c>
      <c r="Q12" s="300" t="s">
        <v>263</v>
      </c>
      <c r="R12" s="301" t="s">
        <v>366</v>
      </c>
      <c r="S12" s="302" t="s">
        <v>367</v>
      </c>
      <c r="T12" s="302" t="s">
        <v>368</v>
      </c>
      <c r="U12" s="302" t="s">
        <v>369</v>
      </c>
    </row>
    <row r="13" spans="1:26" ht="15.75" customHeight="1">
      <c r="A13" s="303"/>
      <c r="B13" s="37" t="s">
        <v>161</v>
      </c>
      <c r="C13" s="289" t="s">
        <v>174</v>
      </c>
      <c r="D13" s="290" t="s">
        <v>370</v>
      </c>
      <c r="E13" s="304" t="s">
        <v>371</v>
      </c>
      <c r="F13" s="305" t="s">
        <v>372</v>
      </c>
      <c r="G13" s="293" t="s">
        <v>360</v>
      </c>
      <c r="H13" s="303"/>
      <c r="I13" s="306" t="s">
        <v>165</v>
      </c>
      <c r="J13" s="294" t="s">
        <v>214</v>
      </c>
      <c r="K13" s="295" t="s">
        <v>373</v>
      </c>
      <c r="L13" s="296" t="s">
        <v>374</v>
      </c>
      <c r="M13" s="307" t="s">
        <v>375</v>
      </c>
      <c r="N13" s="298" t="s">
        <v>376</v>
      </c>
      <c r="O13" s="303"/>
      <c r="P13" s="308" t="s">
        <v>377</v>
      </c>
      <c r="Q13" s="459" t="s">
        <v>263</v>
      </c>
      <c r="R13" s="460" t="s">
        <v>378</v>
      </c>
      <c r="S13" s="271" t="s">
        <v>379</v>
      </c>
      <c r="T13" s="271" t="s">
        <v>380</v>
      </c>
      <c r="U13" s="271" t="s">
        <v>381</v>
      </c>
      <c r="V13" s="303"/>
      <c r="W13" s="303"/>
      <c r="X13" s="303"/>
      <c r="Y13" s="303"/>
      <c r="Z13" s="303"/>
    </row>
    <row r="14" spans="1:26" ht="15.75" customHeight="1">
      <c r="B14" s="37" t="s">
        <v>162</v>
      </c>
      <c r="C14" s="289" t="s">
        <v>174</v>
      </c>
      <c r="D14" s="309" t="s">
        <v>382</v>
      </c>
      <c r="E14" s="304" t="s">
        <v>383</v>
      </c>
      <c r="F14" s="310" t="s">
        <v>384</v>
      </c>
      <c r="G14" s="293" t="s">
        <v>385</v>
      </c>
      <c r="I14" s="306" t="s">
        <v>166</v>
      </c>
      <c r="J14" s="294" t="s">
        <v>326</v>
      </c>
      <c r="K14" s="295" t="s">
        <v>337</v>
      </c>
      <c r="L14" s="296" t="s">
        <v>386</v>
      </c>
      <c r="M14" s="307" t="s">
        <v>375</v>
      </c>
      <c r="N14" s="298" t="s">
        <v>387</v>
      </c>
      <c r="P14" s="308" t="s">
        <v>354</v>
      </c>
      <c r="Q14" s="311" t="s">
        <v>263</v>
      </c>
      <c r="R14" s="301" t="s">
        <v>388</v>
      </c>
      <c r="S14" s="271" t="s">
        <v>389</v>
      </c>
      <c r="T14" s="271" t="s">
        <v>390</v>
      </c>
      <c r="U14" s="271" t="s">
        <v>391</v>
      </c>
    </row>
    <row r="15" spans="1:26" ht="101.25" customHeight="1">
      <c r="A15" s="303"/>
      <c r="B15" s="37" t="s">
        <v>392</v>
      </c>
      <c r="C15" s="289" t="s">
        <v>174</v>
      </c>
      <c r="D15" s="290" t="s">
        <v>337</v>
      </c>
      <c r="E15" s="304" t="s">
        <v>393</v>
      </c>
      <c r="F15" s="292" t="s">
        <v>336</v>
      </c>
      <c r="G15" s="293" t="s">
        <v>360</v>
      </c>
      <c r="H15" s="303"/>
      <c r="I15" s="312" t="s">
        <v>351</v>
      </c>
      <c r="J15" s="313" t="s">
        <v>214</v>
      </c>
      <c r="K15" s="314" t="s">
        <v>362</v>
      </c>
      <c r="L15" s="315" t="s">
        <v>394</v>
      </c>
      <c r="M15" s="316" t="s">
        <v>395</v>
      </c>
      <c r="N15" s="317" t="s">
        <v>396</v>
      </c>
      <c r="O15" s="303"/>
      <c r="P15" s="39" t="s">
        <v>355</v>
      </c>
      <c r="Q15" s="311" t="s">
        <v>263</v>
      </c>
      <c r="R15" s="301" t="s">
        <v>306</v>
      </c>
      <c r="S15" s="271" t="s">
        <v>397</v>
      </c>
      <c r="T15" s="271" t="s">
        <v>398</v>
      </c>
      <c r="U15" s="271" t="s">
        <v>399</v>
      </c>
      <c r="V15" s="303"/>
      <c r="W15" s="303"/>
      <c r="X15" s="303"/>
      <c r="Y15" s="303"/>
      <c r="Z15" s="303"/>
    </row>
    <row r="16" spans="1:26" ht="15.75" customHeight="1">
      <c r="P16" s="375" t="s">
        <v>356</v>
      </c>
      <c r="Q16" s="318" t="s">
        <v>263</v>
      </c>
      <c r="R16" s="301" t="s">
        <v>400</v>
      </c>
      <c r="S16" s="271" t="s">
        <v>401</v>
      </c>
      <c r="T16" s="271" t="s">
        <v>402</v>
      </c>
      <c r="U16" s="271" t="s">
        <v>322</v>
      </c>
    </row>
    <row r="17" spans="16:21" ht="15.75" customHeight="1">
      <c r="P17" s="38" t="s">
        <v>357</v>
      </c>
      <c r="Q17" s="318" t="s">
        <v>263</v>
      </c>
      <c r="R17" s="301" t="s">
        <v>403</v>
      </c>
      <c r="S17" s="271" t="s">
        <v>404</v>
      </c>
      <c r="T17" s="271" t="s">
        <v>405</v>
      </c>
      <c r="U17" s="271" t="s">
        <v>406</v>
      </c>
    </row>
    <row r="18" spans="16:21" ht="15.75" customHeight="1"/>
    <row r="19" spans="16:21" ht="15.75" customHeight="1"/>
    <row r="20" spans="16:21" ht="81" customHeight="1"/>
    <row r="21" spans="16:21" ht="15.75" customHeight="1"/>
    <row r="22" spans="16:21" ht="15.75" customHeight="1"/>
    <row r="23" spans="16:21" ht="15.75" customHeight="1"/>
    <row r="24" spans="16:21" ht="15.75" customHeight="1"/>
    <row r="25" spans="16:21" ht="15.75" customHeight="1"/>
    <row r="26" spans="16:21" ht="15.75" customHeight="1"/>
    <row r="27" spans="16:21" ht="15.75" customHeight="1"/>
    <row r="28" spans="16:21" ht="15.75" customHeight="1"/>
    <row r="29" spans="16:21" ht="15.75" customHeight="1"/>
    <row r="30" spans="16:21" ht="15.75" customHeight="1"/>
    <row r="31" spans="16:21" ht="15.75" customHeight="1"/>
    <row r="32" spans="16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0:G10"/>
    <mergeCell ref="I10:N10"/>
    <mergeCell ref="P10:U10"/>
    <mergeCell ref="E3:R3"/>
    <mergeCell ref="E4:R4"/>
    <mergeCell ref="D5:G5"/>
    <mergeCell ref="J5:M5"/>
    <mergeCell ref="P5:U5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1929ea-88ef-4af4-a42a-49ae23bc053b">
      <Terms xmlns="http://schemas.microsoft.com/office/infopath/2007/PartnerControls"/>
    </lcf76f155ced4ddcb4097134ff3c332f>
    <TaxCatchAll xmlns="e21a8dd0-391d-4a60-8e1f-429aefc5cc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409C2785BD854F96D0B9B0F3D0AD6C" ma:contentTypeVersion="12" ma:contentTypeDescription="Crear nuevo documento." ma:contentTypeScope="" ma:versionID="5d1fc2a52d34bfb1264c32baa49b2068">
  <xsd:schema xmlns:xsd="http://www.w3.org/2001/XMLSchema" xmlns:xs="http://www.w3.org/2001/XMLSchema" xmlns:p="http://schemas.microsoft.com/office/2006/metadata/properties" xmlns:ns2="ca1929ea-88ef-4af4-a42a-49ae23bc053b" xmlns:ns3="e21a8dd0-391d-4a60-8e1f-429aefc5cca6" targetNamespace="http://schemas.microsoft.com/office/2006/metadata/properties" ma:root="true" ma:fieldsID="299f72c70c246b0035ae91f618ce25f3" ns2:_="" ns3:_="">
    <xsd:import namespace="ca1929ea-88ef-4af4-a42a-49ae23bc053b"/>
    <xsd:import namespace="e21a8dd0-391d-4a60-8e1f-429aefc5cc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929ea-88ef-4af4-a42a-49ae23bc05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05287f6-a0ce-4ec6-a30b-593201b7cd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1a8dd0-391d-4a60-8e1f-429aefc5cca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8cc3ce3-7290-4b02-a238-f997453767fc}" ma:internalName="TaxCatchAll" ma:showField="CatchAllData" ma:web="e21a8dd0-391d-4a60-8e1f-429aefc5cc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E764D4-2D31-46C3-B70E-6C15A3495753}"/>
</file>

<file path=customXml/itemProps2.xml><?xml version="1.0" encoding="utf-8"?>
<ds:datastoreItem xmlns:ds="http://schemas.openxmlformats.org/officeDocument/2006/customXml" ds:itemID="{2AF4F28F-A91A-4F1A-8A26-8D53E5401F7D}"/>
</file>

<file path=customXml/itemProps3.xml><?xml version="1.0" encoding="utf-8"?>
<ds:datastoreItem xmlns:ds="http://schemas.openxmlformats.org/officeDocument/2006/customXml" ds:itemID="{CA40C826-BED4-4659-A067-63C086EA14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karine bertin</cp:lastModifiedBy>
  <cp:revision/>
  <dcterms:created xsi:type="dcterms:W3CDTF">2016-06-06T20:22:36Z</dcterms:created>
  <dcterms:modified xsi:type="dcterms:W3CDTF">2026-06-03T13:09:39Z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0x010100A3409C2785BD854F96D0B9B0F3D0AD6C</vt:lpwstr>
  </property>
</Properties>
</file>